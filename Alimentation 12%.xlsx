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ransition écologique\01_DEVELOPPEMENT_DURABLE\Projets\Climat\Bilan Carbone - BEGES\Travail reduction BEGES\etudiants tsp classeurs vierges\"/>
    </mc:Choice>
  </mc:AlternateContent>
  <xr:revisionPtr revIDLastSave="0" documentId="13_ncr:1_{EA8827BD-F5F9-4597-B896-3AA23FA9B210}" xr6:coauthVersionLast="36" xr6:coauthVersionMax="36" xr10:uidLastSave="{00000000-0000-0000-0000-000000000000}"/>
  <bookViews>
    <workbookView xWindow="0" yWindow="0" windowWidth="23040" windowHeight="9216" xr2:uid="{07709353-7F5A-49E8-A915-17083746496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8" i="1" l="1"/>
  <c r="S29" i="1"/>
  <c r="S30" i="1"/>
  <c r="S31" i="1"/>
  <c r="S32" i="1"/>
  <c r="S33" i="1"/>
  <c r="J9" i="1"/>
  <c r="M9" i="1" l="1"/>
  <c r="S34" i="1"/>
  <c r="J10" i="1" l="1"/>
  <c r="M10" i="1" s="1"/>
  <c r="E6" i="1"/>
  <c r="C6" i="1" l="1"/>
  <c r="D6" i="1"/>
  <c r="C8" i="1" s="1"/>
  <c r="I20" i="1"/>
  <c r="H20" i="1"/>
  <c r="J19" i="1"/>
  <c r="M19" i="1" s="1"/>
  <c r="J18" i="1"/>
  <c r="M18" i="1" s="1"/>
  <c r="J12" i="1"/>
  <c r="J36" i="1" s="1"/>
  <c r="J11" i="1"/>
  <c r="M11" i="1" s="1"/>
  <c r="I13" i="1"/>
  <c r="H13" i="1"/>
  <c r="M20" i="1" l="1"/>
  <c r="J20" i="1"/>
  <c r="M12" i="1"/>
  <c r="M13" i="1" s="1"/>
  <c r="J28" i="1"/>
  <c r="M28" i="1" s="1"/>
  <c r="J35" i="1"/>
  <c r="J26" i="1"/>
  <c r="J37" i="1"/>
  <c r="M37" i="1" s="1"/>
  <c r="J27" i="1"/>
  <c r="M27" i="1" s="1"/>
  <c r="J34" i="1"/>
  <c r="J13" i="1"/>
  <c r="L9" i="1" s="1"/>
  <c r="G9" i="1" s="1"/>
  <c r="K9" i="1" s="1"/>
  <c r="O9" i="1" s="1"/>
  <c r="M22" i="1" l="1"/>
  <c r="N9" i="1" s="1"/>
  <c r="L12" i="1"/>
  <c r="G12" i="1" s="1"/>
  <c r="K12" i="1" s="1"/>
  <c r="O12" i="1" s="1"/>
  <c r="J29" i="1"/>
  <c r="L10" i="1"/>
  <c r="G10" i="1" s="1"/>
  <c r="K10" i="1" s="1"/>
  <c r="O10" i="1" s="1"/>
  <c r="L11" i="1"/>
  <c r="G11" i="1" s="1"/>
  <c r="K11" i="1" s="1"/>
  <c r="O11" i="1" s="1"/>
  <c r="M35" i="1"/>
  <c r="O13" i="1" l="1"/>
  <c r="O22" i="1" s="1"/>
  <c r="N10" i="1"/>
  <c r="N12" i="1"/>
  <c r="N11" i="1"/>
  <c r="M34" i="1"/>
  <c r="J4" i="1"/>
  <c r="J2" i="1"/>
  <c r="J3" i="1"/>
  <c r="M25" i="1"/>
  <c r="M36" i="1"/>
  <c r="M26" i="1"/>
  <c r="J33" i="1"/>
  <c r="M4" i="1" l="1"/>
  <c r="L4" i="1"/>
  <c r="M3" i="1"/>
  <c r="M2" i="1"/>
  <c r="L2" i="1"/>
  <c r="J5" i="1"/>
  <c r="L3" i="1" s="1"/>
  <c r="M29" i="1"/>
  <c r="M33" i="1"/>
  <c r="M38" i="1" s="1"/>
  <c r="N38" i="1" s="1"/>
  <c r="J38" i="1"/>
  <c r="M5" i="1"/>
  <c r="N29" i="1" l="1"/>
  <c r="M30" i="1"/>
  <c r="M6" i="1"/>
  <c r="N6" i="1" s="1"/>
  <c r="N22" i="1"/>
  <c r="M39" i="1"/>
  <c r="N40" i="1" s="1"/>
</calcChain>
</file>

<file path=xl/sharedStrings.xml><?xml version="1.0" encoding="utf-8"?>
<sst xmlns="http://schemas.openxmlformats.org/spreadsheetml/2006/main" count="65" uniqueCount="43">
  <si>
    <t>Repas adultes</t>
  </si>
  <si>
    <t>Repas petite enfance</t>
  </si>
  <si>
    <t>Repas scolaires</t>
  </si>
  <si>
    <t>Type</t>
  </si>
  <si>
    <t>Végétarien</t>
  </si>
  <si>
    <t>Dominante bœuf</t>
  </si>
  <si>
    <t>Impact carbone kg CO2</t>
  </si>
  <si>
    <t>Repas/semaine</t>
  </si>
  <si>
    <t>Repas année</t>
  </si>
  <si>
    <t>Impact carbone</t>
  </si>
  <si>
    <t>Dominante poulet / poisson</t>
  </si>
  <si>
    <t>scénario si on enlève les repas avec bœuf et on remplace par poulet ou poisson</t>
  </si>
  <si>
    <t>Végétalien</t>
  </si>
  <si>
    <t>scénario si on remplace le repas au bœuf par un repas vegetalien</t>
  </si>
  <si>
    <t>chiffres 2022</t>
  </si>
  <si>
    <t>chiffres 2024</t>
  </si>
  <si>
    <t>ENFANT SCO + CLS</t>
  </si>
  <si>
    <t>AD SCO + CLS</t>
  </si>
  <si>
    <t>Boeuf / Veau</t>
  </si>
  <si>
    <t>Porc</t>
  </si>
  <si>
    <t>Poisson / Volaille</t>
  </si>
  <si>
    <t>Total</t>
  </si>
  <si>
    <t>TOTAL</t>
  </si>
  <si>
    <t>Dominante porc</t>
  </si>
  <si>
    <t>2 ?</t>
  </si>
  <si>
    <t>% des repas</t>
  </si>
  <si>
    <t>Bœuf / veau</t>
  </si>
  <si>
    <t>sans viande</t>
  </si>
  <si>
    <t>viande</t>
  </si>
  <si>
    <t>sans bouteille d'eau</t>
  </si>
  <si>
    <t>avec bouteille d'eau</t>
  </si>
  <si>
    <t>repas froids : pique nique</t>
  </si>
  <si>
    <t>total</t>
  </si>
  <si>
    <t>TOTAL 2024</t>
  </si>
  <si>
    <t>repas froids</t>
  </si>
  <si>
    <t>si prise en compte de petite enfance</t>
  </si>
  <si>
    <t>petite enfance</t>
  </si>
  <si>
    <t>Total avec petite enfance</t>
  </si>
  <si>
    <t>pique nique sans viande</t>
  </si>
  <si>
    <t>pique nique viande</t>
  </si>
  <si>
    <t>impact carbone / repas</t>
  </si>
  <si>
    <t>Impact total</t>
  </si>
  <si>
    <t>Nombre de repas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</si>
</sst>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/>
    <xf numFmtId="164" fontId="0" fillId="0" borderId="1" xfId="1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9" fontId="0" fillId="0" borderId="0" xfId="2" applyFont="1"/>
    <xf numFmtId="2" fontId="0" fillId="0" borderId="0" xfId="0" applyNumberFormat="1"/>
    <xf numFmtId="0" fontId="0" fillId="0" borderId="0" xfId="0" applyBorder="1"/>
    <xf numFmtId="0" fontId="0" fillId="0" borderId="2" xfId="0" applyFill="1" applyBorder="1"/>
    <xf numFmtId="164" fontId="3" fillId="0" borderId="0" xfId="1" applyNumberFormat="1" applyFont="1"/>
    <xf numFmtId="164" fontId="3" fillId="0" borderId="0" xfId="0" applyNumberFormat="1" applyFont="1"/>
    <xf numFmtId="164" fontId="3" fillId="0" borderId="1" xfId="1" applyNumberFormat="1" applyFont="1" applyBorder="1"/>
    <xf numFmtId="9" fontId="0" fillId="0" borderId="0" xfId="2" applyFont="1" applyBorder="1"/>
    <xf numFmtId="9" fontId="0" fillId="0" borderId="1" xfId="2" applyFont="1" applyBorder="1"/>
    <xf numFmtId="0" fontId="0" fillId="0" borderId="1" xfId="0" applyBorder="1" applyAlignment="1">
      <alignment horizontal="center"/>
    </xf>
    <xf numFmtId="0" fontId="0" fillId="0" borderId="0" xfId="0" applyFill="1" applyBorder="1"/>
    <xf numFmtId="0" fontId="0" fillId="0" borderId="1" xfId="0" applyFont="1" applyBorder="1"/>
    <xf numFmtId="1" fontId="0" fillId="0" borderId="1" xfId="0" applyNumberFormat="1" applyBorder="1" applyAlignment="1">
      <alignment horizontal="center"/>
    </xf>
    <xf numFmtId="0" fontId="0" fillId="0" borderId="2" xfId="0" applyBorder="1"/>
    <xf numFmtId="1" fontId="0" fillId="0" borderId="0" xfId="0" applyNumberFormat="1" applyBorder="1"/>
    <xf numFmtId="164" fontId="0" fillId="0" borderId="1" xfId="1" applyNumberFormat="1" applyFont="1" applyFill="1" applyBorder="1" applyAlignment="1">
      <alignment horizontal="center" wrapText="1"/>
    </xf>
    <xf numFmtId="164" fontId="1" fillId="0" borderId="1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Fill="1" applyBorder="1"/>
    <xf numFmtId="164" fontId="0" fillId="0" borderId="0" xfId="1" applyNumberFormat="1" applyFont="1"/>
    <xf numFmtId="0" fontId="0" fillId="0" borderId="1" xfId="0" applyFill="1" applyBorder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2"/>
          <c:order val="2"/>
          <c:tx>
            <c:strRef>
              <c:f>Feuil1!$S$27</c:f>
              <c:strCache>
                <c:ptCount val="1"/>
                <c:pt idx="0">
                  <c:v>Impact 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92-4EFA-AE31-D03C286957A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92-4EFA-AE31-D03C286957A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92-4EFA-AE31-D03C286957A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92-4EFA-AE31-D03C286957A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492-4EFA-AE31-D03C286957A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492-4EFA-AE31-D03C286957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Feuil1!$P$28:$P$34</c15:sqref>
                  </c15:fullRef>
                </c:ext>
              </c:extLst>
              <c:f>Feuil1!$P$28:$P$33</c:f>
              <c:strCache>
                <c:ptCount val="6"/>
                <c:pt idx="0">
                  <c:v>Boeuf / Veau</c:v>
                </c:pt>
                <c:pt idx="1">
                  <c:v>Porc</c:v>
                </c:pt>
                <c:pt idx="2">
                  <c:v>Poisson / Volaille</c:v>
                </c:pt>
                <c:pt idx="3">
                  <c:v>Végétarien</c:v>
                </c:pt>
                <c:pt idx="4">
                  <c:v>pique nique sans viande</c:v>
                </c:pt>
                <c:pt idx="5">
                  <c:v>pique nique viande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Feuil1!$S$28:$S$34</c15:sqref>
                  </c15:fullRef>
                </c:ext>
              </c:extLst>
              <c:f>Feuil1!$S$28:$S$33</c:f>
              <c:numCache>
                <c:formatCode>_-* #\ ##0\ _€_-;\-* #\ ##0\ _€_-;_-* "-"??\ _€_-;_-@_-</c:formatCode>
                <c:ptCount val="6"/>
                <c:pt idx="0">
                  <c:v>882139.25697171898</c:v>
                </c:pt>
                <c:pt idx="1">
                  <c:v>120023.66370448899</c:v>
                </c:pt>
                <c:pt idx="2">
                  <c:v>620325.98578154715</c:v>
                </c:pt>
                <c:pt idx="3">
                  <c:v>203851.96038913663</c:v>
                </c:pt>
                <c:pt idx="4">
                  <c:v>7964.67</c:v>
                </c:pt>
                <c:pt idx="5">
                  <c:v>9561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2-EB4D-4C78-B1F5-BF643F8EAA0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Feuil1!$Q$27</c15:sqref>
                        </c15:formulaRef>
                      </c:ext>
                    </c:extLst>
                    <c:strCache>
                      <c:ptCount val="1"/>
                      <c:pt idx="0">
                        <c:v>Nombre de repas total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F492-4EFA-AE31-D03C286957A3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F492-4EFA-AE31-D03C286957A3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F492-4EFA-AE31-D03C286957A3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F492-4EFA-AE31-D03C286957A3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F492-4EFA-AE31-D03C286957A3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F492-4EFA-AE31-D03C286957A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tx2">
                            <a:lumMod val="35000"/>
                            <a:lumOff val="65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Feuil1!$P$28:$P$34</c15:sqref>
                        </c15:fullRef>
                        <c15:formulaRef>
                          <c15:sqref>Feuil1!$P$28:$P$33</c15:sqref>
                        </c15:formulaRef>
                      </c:ext>
                    </c:extLst>
                    <c:strCache>
                      <c:ptCount val="6"/>
                      <c:pt idx="0">
                        <c:v>Boeuf / Veau</c:v>
                      </c:pt>
                      <c:pt idx="1">
                        <c:v>Porc</c:v>
                      </c:pt>
                      <c:pt idx="2">
                        <c:v>Poisson / Volaille</c:v>
                      </c:pt>
                      <c:pt idx="3">
                        <c:v>Végétarien</c:v>
                      </c:pt>
                      <c:pt idx="4">
                        <c:v>pique nique sans viande</c:v>
                      </c:pt>
                      <c:pt idx="5">
                        <c:v>pique nique viande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Feuil1!$Q$28:$Q$34</c15:sqref>
                        </c15:fullRef>
                        <c15:formulaRef>
                          <c15:sqref>Feuil1!$Q$28:$Q$33</c15:sqref>
                        </c15:formulaRef>
                      </c:ext>
                    </c:extLst>
                    <c:numCache>
                      <c:formatCode>_-* #\ ##0\ _€_-;\-* #\ ##0\ _€_-;_-* "-"??\ _€_-;_-@_-</c:formatCode>
                      <c:ptCount val="6"/>
                      <c:pt idx="0">
                        <c:v>121506.78470684835</c:v>
                      </c:pt>
                      <c:pt idx="1">
                        <c:v>60011.831852244497</c:v>
                      </c:pt>
                      <c:pt idx="2">
                        <c:v>413550.65718769812</c:v>
                      </c:pt>
                      <c:pt idx="3">
                        <c:v>399709.72625320905</c:v>
                      </c:pt>
                      <c:pt idx="4">
                        <c:v>15617</c:v>
                      </c:pt>
                      <c:pt idx="5">
                        <c:v>6374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0-EB4D-4C78-B1F5-BF643F8EAA0B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Feuil1!$R$27</c15:sqref>
                        </c15:formulaRef>
                      </c:ext>
                    </c:extLst>
                    <c:strCache>
                      <c:ptCount val="1"/>
                      <c:pt idx="0">
                        <c:v>impact carbone / repas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F492-4EFA-AE31-D03C286957A3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F492-4EFA-AE31-D03C286957A3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F492-4EFA-AE31-D03C286957A3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F492-4EFA-AE31-D03C286957A3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F492-4EFA-AE31-D03C286957A3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F492-4EFA-AE31-D03C286957A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tx2">
                            <a:lumMod val="35000"/>
                            <a:lumOff val="65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Feuil1!$P$28:$P$34</c15:sqref>
                        </c15:fullRef>
                        <c15:formulaRef>
                          <c15:sqref>Feuil1!$P$28:$P$33</c15:sqref>
                        </c15:formulaRef>
                      </c:ext>
                    </c:extLst>
                    <c:strCache>
                      <c:ptCount val="6"/>
                      <c:pt idx="0">
                        <c:v>Boeuf / Veau</c:v>
                      </c:pt>
                      <c:pt idx="1">
                        <c:v>Porc</c:v>
                      </c:pt>
                      <c:pt idx="2">
                        <c:v>Poisson / Volaille</c:v>
                      </c:pt>
                      <c:pt idx="3">
                        <c:v>Végétarien</c:v>
                      </c:pt>
                      <c:pt idx="4">
                        <c:v>pique nique sans viande</c:v>
                      </c:pt>
                      <c:pt idx="5">
                        <c:v>pique nique viande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Feuil1!$R$28:$R$34</c15:sqref>
                        </c15:fullRef>
                        <c15:formulaRef>
                          <c15:sqref>Feuil1!$R$28:$R$33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7.26</c:v>
                      </c:pt>
                      <c:pt idx="1">
                        <c:v>2</c:v>
                      </c:pt>
                      <c:pt idx="2">
                        <c:v>1.5</c:v>
                      </c:pt>
                      <c:pt idx="3">
                        <c:v>0.51</c:v>
                      </c:pt>
                      <c:pt idx="4">
                        <c:v>0.51</c:v>
                      </c:pt>
                      <c:pt idx="5">
                        <c:v>1.5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1-EB4D-4C78-B1F5-BF643F8EAA0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Feuil1!$Q$27</c:f>
              <c:strCache>
                <c:ptCount val="1"/>
                <c:pt idx="0">
                  <c:v>Nombre de repas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ED-4D34-97FB-DF74C6232A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ED-4D34-97FB-DF74C6232A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ED-4D34-97FB-DF74C6232A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ED-4D34-97FB-DF74C6232A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ED-4D34-97FB-DF74C6232A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ED-4D34-97FB-DF74C6232AA6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Feuil1!$P$28:$P$34</c15:sqref>
                  </c15:fullRef>
                </c:ext>
              </c:extLst>
              <c:f>Feuil1!$P$28:$P$33</c:f>
              <c:strCache>
                <c:ptCount val="6"/>
                <c:pt idx="0">
                  <c:v>Boeuf / Veau</c:v>
                </c:pt>
                <c:pt idx="1">
                  <c:v>Porc</c:v>
                </c:pt>
                <c:pt idx="2">
                  <c:v>Poisson / Volaille</c:v>
                </c:pt>
                <c:pt idx="3">
                  <c:v>Végétarien</c:v>
                </c:pt>
                <c:pt idx="4">
                  <c:v>pique nique sans viande</c:v>
                </c:pt>
                <c:pt idx="5">
                  <c:v>pique nique viande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Feuil1!$Q$28:$Q$34</c15:sqref>
                  </c15:fullRef>
                </c:ext>
              </c:extLst>
              <c:f>Feuil1!$Q$28:$Q$33</c:f>
              <c:numCache>
                <c:formatCode>_-* #\ ##0\ _€_-;\-* #\ ##0\ _€_-;_-* "-"??\ _€_-;_-@_-</c:formatCode>
                <c:ptCount val="6"/>
                <c:pt idx="0">
                  <c:v>121506.78470684835</c:v>
                </c:pt>
                <c:pt idx="1">
                  <c:v>60011.831852244497</c:v>
                </c:pt>
                <c:pt idx="2">
                  <c:v>413550.65718769812</c:v>
                </c:pt>
                <c:pt idx="3">
                  <c:v>399709.72625320905</c:v>
                </c:pt>
                <c:pt idx="4">
                  <c:v>15617</c:v>
                </c:pt>
                <c:pt idx="5">
                  <c:v>6374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FD1E-4D47-AAFE-C8C9FC753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Feuil1!$R$27</c15:sqref>
                        </c15:formulaRef>
                      </c:ext>
                    </c:extLst>
                    <c:strCache>
                      <c:ptCount val="1"/>
                      <c:pt idx="0">
                        <c:v>impact carbone / repas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70ED-4D34-97FB-DF74C6232AA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70ED-4D34-97FB-DF74C6232AA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70ED-4D34-97FB-DF74C6232AA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70ED-4D34-97FB-DF74C6232AA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70ED-4D34-97FB-DF74C6232AA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70ED-4D34-97FB-DF74C6232AA6}"/>
                    </c:ext>
                  </c:extLst>
                </c:dPt>
                <c:cat>
                  <c:strRef>
                    <c:extLst>
                      <c:ext uri="{02D57815-91ED-43cb-92C2-25804820EDAC}">
                        <c15:fullRef>
                          <c15:sqref>Feuil1!$P$28:$P$34</c15:sqref>
                        </c15:fullRef>
                        <c15:formulaRef>
                          <c15:sqref>Feuil1!$P$28:$P$33</c15:sqref>
                        </c15:formulaRef>
                      </c:ext>
                    </c:extLst>
                    <c:strCache>
                      <c:ptCount val="6"/>
                      <c:pt idx="0">
                        <c:v>Boeuf / Veau</c:v>
                      </c:pt>
                      <c:pt idx="1">
                        <c:v>Porc</c:v>
                      </c:pt>
                      <c:pt idx="2">
                        <c:v>Poisson / Volaille</c:v>
                      </c:pt>
                      <c:pt idx="3">
                        <c:v>Végétarien</c:v>
                      </c:pt>
                      <c:pt idx="4">
                        <c:v>pique nique sans viande</c:v>
                      </c:pt>
                      <c:pt idx="5">
                        <c:v>pique nique viande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Feuil1!$R$28:$R$34</c15:sqref>
                        </c15:fullRef>
                        <c15:formulaRef>
                          <c15:sqref>Feuil1!$R$28:$R$33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7.26</c:v>
                      </c:pt>
                      <c:pt idx="1">
                        <c:v>2</c:v>
                      </c:pt>
                      <c:pt idx="2">
                        <c:v>1.5</c:v>
                      </c:pt>
                      <c:pt idx="3">
                        <c:v>0.51</c:v>
                      </c:pt>
                      <c:pt idx="4">
                        <c:v>0.51</c:v>
                      </c:pt>
                      <c:pt idx="5">
                        <c:v>1.5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1-FD1E-4D47-AAFE-C8C9FC7536EA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Feuil1!$S$27</c15:sqref>
                        </c15:formulaRef>
                      </c:ext>
                    </c:extLst>
                    <c:strCache>
                      <c:ptCount val="1"/>
                      <c:pt idx="0">
                        <c:v>Impact total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70ED-4D34-97FB-DF74C6232AA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70ED-4D34-97FB-DF74C6232AA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70ED-4D34-97FB-DF74C6232AA6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70ED-4D34-97FB-DF74C6232AA6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70ED-4D34-97FB-DF74C6232AA6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70ED-4D34-97FB-DF74C6232AA6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Feuil1!$P$28:$P$34</c15:sqref>
                        </c15:fullRef>
                        <c15:formulaRef>
                          <c15:sqref>Feuil1!$P$28:$P$33</c15:sqref>
                        </c15:formulaRef>
                      </c:ext>
                    </c:extLst>
                    <c:strCache>
                      <c:ptCount val="6"/>
                      <c:pt idx="0">
                        <c:v>Boeuf / Veau</c:v>
                      </c:pt>
                      <c:pt idx="1">
                        <c:v>Porc</c:v>
                      </c:pt>
                      <c:pt idx="2">
                        <c:v>Poisson / Volaille</c:v>
                      </c:pt>
                      <c:pt idx="3">
                        <c:v>Végétarien</c:v>
                      </c:pt>
                      <c:pt idx="4">
                        <c:v>pique nique sans viande</c:v>
                      </c:pt>
                      <c:pt idx="5">
                        <c:v>pique nique viande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Feuil1!$S$28:$S$34</c15:sqref>
                        </c15:fullRef>
                        <c15:formulaRef>
                          <c15:sqref>Feuil1!$S$28:$S$33</c15:sqref>
                        </c15:formulaRef>
                      </c:ext>
                    </c:extLst>
                    <c:numCache>
                      <c:formatCode>_-* #\ ##0\ _€_-;\-* #\ ##0\ _€_-;_-* "-"??\ _€_-;_-@_-</c:formatCode>
                      <c:ptCount val="6"/>
                      <c:pt idx="0">
                        <c:v>882139.25697171898</c:v>
                      </c:pt>
                      <c:pt idx="1">
                        <c:v>120023.66370448899</c:v>
                      </c:pt>
                      <c:pt idx="2">
                        <c:v>620325.98578154715</c:v>
                      </c:pt>
                      <c:pt idx="3">
                        <c:v>203851.96038913663</c:v>
                      </c:pt>
                      <c:pt idx="4">
                        <c:v>7964.67</c:v>
                      </c:pt>
                      <c:pt idx="5">
                        <c:v>9561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2-FD1E-4D47-AAFE-C8C9FC7536E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594360</xdr:colOff>
      <xdr:row>0</xdr:row>
      <xdr:rowOff>160020</xdr:rowOff>
    </xdr:from>
    <xdr:to>
      <xdr:col>18</xdr:col>
      <xdr:colOff>586740</xdr:colOff>
      <xdr:row>7</xdr:row>
      <xdr:rowOff>99060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AD4822C5-DC16-4AB7-B276-6B7CD176AADC}"/>
            </a:ext>
          </a:extLst>
        </xdr:cNvPr>
        <xdr:cNvSpPr txBox="1"/>
      </xdr:nvSpPr>
      <xdr:spPr>
        <a:xfrm>
          <a:off x="12192000" y="160020"/>
          <a:ext cx="3162300" cy="1036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En 2022 : Sur</a:t>
          </a:r>
          <a:r>
            <a:rPr lang="fr-FR" sz="1100" baseline="0"/>
            <a:t> 1 semaine (5 jours), il y a un repas sans viande, 1 "nouveau produit" (oeufs ou fromages) et les 3 autres repas c'est 2 fois de la viande et 1 fois du poisson.</a:t>
          </a:r>
          <a:endParaRPr lang="fr-FR" sz="1100"/>
        </a:p>
      </xdr:txBody>
    </xdr:sp>
    <xdr:clientData/>
  </xdr:twoCellAnchor>
  <xdr:twoCellAnchor editAs="oneCell">
    <xdr:from>
      <xdr:col>15</xdr:col>
      <xdr:colOff>264229</xdr:colOff>
      <xdr:row>9</xdr:row>
      <xdr:rowOff>120015</xdr:rowOff>
    </xdr:from>
    <xdr:to>
      <xdr:col>20</xdr:col>
      <xdr:colOff>392099</xdr:colOff>
      <xdr:row>24</xdr:row>
      <xdr:rowOff>33349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6C4833B-F41F-4294-ACED-89239BCC0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97449" y="2025015"/>
          <a:ext cx="4189330" cy="2770834"/>
        </a:xfrm>
        <a:prstGeom prst="rect">
          <a:avLst/>
        </a:prstGeom>
      </xdr:spPr>
    </xdr:pic>
    <xdr:clientData/>
  </xdr:twoCellAnchor>
  <xdr:twoCellAnchor>
    <xdr:from>
      <xdr:col>14</xdr:col>
      <xdr:colOff>588433</xdr:colOff>
      <xdr:row>36</xdr:row>
      <xdr:rowOff>158233</xdr:rowOff>
    </xdr:from>
    <xdr:to>
      <xdr:col>20</xdr:col>
      <xdr:colOff>132550</xdr:colOff>
      <xdr:row>51</xdr:row>
      <xdr:rowOff>158233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C72733E-90A9-4738-B57D-7AE76E5D2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141110</xdr:colOff>
      <xdr:row>23</xdr:row>
      <xdr:rowOff>105363</xdr:rowOff>
    </xdr:from>
    <xdr:to>
      <xdr:col>25</xdr:col>
      <xdr:colOff>761999</xdr:colOff>
      <xdr:row>38</xdr:row>
      <xdr:rowOff>167452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52A5E2B-DF03-48A5-B01E-FB2D4E97A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1FBA-9915-4DD7-BB78-17E3B92C1DC5}">
  <dimension ref="A1:S40"/>
  <sheetViews>
    <sheetView tabSelected="1" zoomScale="81" workbookViewId="0">
      <selection activeCell="N5" sqref="N5"/>
    </sheetView>
  </sheetViews>
  <sheetFormatPr baseColWidth="10" defaultRowHeight="14.4" x14ac:dyDescent="0.3"/>
  <cols>
    <col min="1" max="1" width="18.33203125" customWidth="1"/>
    <col min="2" max="2" width="17.88671875" customWidth="1"/>
    <col min="3" max="3" width="14.109375" bestFit="1" customWidth="1"/>
    <col min="4" max="4" width="12.6640625" bestFit="1" customWidth="1"/>
    <col min="5" max="5" width="17.6640625" customWidth="1"/>
    <col min="6" max="7" width="17" customWidth="1"/>
    <col min="8" max="8" width="18.33203125" customWidth="1"/>
    <col min="9" max="9" width="11.5546875" customWidth="1"/>
    <col min="13" max="13" width="16.6640625" customWidth="1"/>
    <col min="15" max="15" width="16.44140625" customWidth="1"/>
    <col min="17" max="17" width="12.6640625" bestFit="1" customWidth="1"/>
    <col min="19" max="19" width="14.109375" bestFit="1" customWidth="1"/>
  </cols>
  <sheetData>
    <row r="1" spans="2:15" ht="28.8" x14ac:dyDescent="0.3">
      <c r="B1" s="1" t="s">
        <v>3</v>
      </c>
      <c r="C1" s="1" t="s">
        <v>14</v>
      </c>
      <c r="D1" s="4" t="s">
        <v>15</v>
      </c>
      <c r="E1" s="22" t="s">
        <v>35</v>
      </c>
      <c r="F1" s="13">
        <v>2022</v>
      </c>
      <c r="G1" s="5"/>
      <c r="H1" s="1" t="s">
        <v>6</v>
      </c>
      <c r="I1" s="1" t="s">
        <v>7</v>
      </c>
      <c r="J1" s="1" t="s">
        <v>8</v>
      </c>
      <c r="K1" s="1"/>
      <c r="L1" s="1"/>
      <c r="M1" s="1" t="s">
        <v>9</v>
      </c>
    </row>
    <row r="2" spans="2:15" x14ac:dyDescent="0.3">
      <c r="B2" s="1" t="s">
        <v>0</v>
      </c>
      <c r="C2" s="2"/>
      <c r="D2" s="23"/>
      <c r="E2" s="24"/>
      <c r="F2" s="4" t="s">
        <v>4</v>
      </c>
      <c r="G2" s="1"/>
      <c r="H2" s="5">
        <v>0.51</v>
      </c>
      <c r="I2" s="1">
        <v>2</v>
      </c>
      <c r="J2" s="1">
        <f>C6*(I2/5)</f>
        <v>0</v>
      </c>
      <c r="K2" s="1"/>
      <c r="L2" s="15" t="e">
        <f>J2/J5</f>
        <v>#DIV/0!</v>
      </c>
      <c r="M2" s="4">
        <f>J2*H2</f>
        <v>0</v>
      </c>
    </row>
    <row r="3" spans="2:15" x14ac:dyDescent="0.3">
      <c r="B3" s="1" t="s">
        <v>1</v>
      </c>
      <c r="C3" s="2"/>
      <c r="D3" s="23"/>
      <c r="E3" s="24"/>
      <c r="F3" s="4" t="s">
        <v>10</v>
      </c>
      <c r="G3" s="1"/>
      <c r="H3" s="5">
        <v>1.5</v>
      </c>
      <c r="I3" s="1">
        <v>2</v>
      </c>
      <c r="J3" s="1">
        <f>C6*(I3/5)</f>
        <v>0</v>
      </c>
      <c r="K3" s="1"/>
      <c r="L3" s="15" t="e">
        <f>J3/J5</f>
        <v>#DIV/0!</v>
      </c>
      <c r="M3" s="4">
        <f>J3*H3</f>
        <v>0</v>
      </c>
    </row>
    <row r="4" spans="2:15" x14ac:dyDescent="0.3">
      <c r="B4" s="1" t="s">
        <v>2</v>
      </c>
      <c r="C4" s="2"/>
      <c r="D4" s="23"/>
      <c r="E4" s="24"/>
      <c r="F4" s="4" t="s">
        <v>5</v>
      </c>
      <c r="G4" s="1"/>
      <c r="H4" s="5">
        <v>7.26</v>
      </c>
      <c r="I4" s="1">
        <v>1</v>
      </c>
      <c r="J4" s="1">
        <f>C6*(I4/5)</f>
        <v>0</v>
      </c>
      <c r="K4" s="1"/>
      <c r="L4" s="15" t="e">
        <f>J4/J5</f>
        <v>#DIV/0!</v>
      </c>
      <c r="M4" s="4">
        <f>J4*H4</f>
        <v>0</v>
      </c>
    </row>
    <row r="5" spans="2:15" x14ac:dyDescent="0.3">
      <c r="B5" s="1" t="s">
        <v>34</v>
      </c>
      <c r="C5" s="2"/>
      <c r="D5" s="23"/>
      <c r="E5" s="24"/>
      <c r="F5" s="25" t="s">
        <v>23</v>
      </c>
      <c r="G5" s="17"/>
      <c r="H5" t="s">
        <v>24</v>
      </c>
      <c r="J5">
        <f>SUM(J2:J4)</f>
        <v>0</v>
      </c>
      <c r="M5" s="6">
        <f>SUM(M2:M4)</f>
        <v>0</v>
      </c>
      <c r="N5">
        <v>24000</v>
      </c>
    </row>
    <row r="6" spans="2:15" x14ac:dyDescent="0.3">
      <c r="B6" s="1"/>
      <c r="C6" s="4">
        <f>SUM(C2:C5)</f>
        <v>0</v>
      </c>
      <c r="D6" s="4">
        <f>SUM(D2:D5)</f>
        <v>0</v>
      </c>
      <c r="E6" s="24">
        <f>SUM(E2:E5)</f>
        <v>0</v>
      </c>
      <c r="F6" s="26"/>
      <c r="M6" s="3">
        <f>M5/1000</f>
        <v>0</v>
      </c>
      <c r="N6" s="7">
        <f>M6/N5</f>
        <v>0</v>
      </c>
    </row>
    <row r="7" spans="2:15" x14ac:dyDescent="0.3">
      <c r="M7" s="3"/>
      <c r="N7" s="7"/>
    </row>
    <row r="8" spans="2:15" x14ac:dyDescent="0.3">
      <c r="C8" t="e">
        <f>D6/C6*100</f>
        <v>#DIV/0!</v>
      </c>
      <c r="F8" s="5">
        <v>2024</v>
      </c>
      <c r="G8" s="18" t="s">
        <v>36</v>
      </c>
      <c r="H8" s="1" t="s">
        <v>16</v>
      </c>
      <c r="I8" s="1" t="s">
        <v>17</v>
      </c>
      <c r="J8" s="1" t="s">
        <v>22</v>
      </c>
      <c r="K8" s="20" t="s">
        <v>37</v>
      </c>
      <c r="L8" s="10" t="s">
        <v>25</v>
      </c>
    </row>
    <row r="9" spans="2:15" x14ac:dyDescent="0.3">
      <c r="F9" s="1" t="s">
        <v>18</v>
      </c>
      <c r="G9" s="19" t="e">
        <f>L9*G13</f>
        <v>#DIV/0!</v>
      </c>
      <c r="H9" s="1"/>
      <c r="I9" s="1"/>
      <c r="J9" s="1">
        <f>I9+H9</f>
        <v>0</v>
      </c>
      <c r="K9" s="21" t="e">
        <f>G9+H9+I9</f>
        <v>#DIV/0!</v>
      </c>
      <c r="L9" s="14" t="e">
        <f>J9/J13</f>
        <v>#DIV/0!</v>
      </c>
      <c r="M9" s="11">
        <f>J9*H4</f>
        <v>0</v>
      </c>
      <c r="N9" s="7" t="e">
        <f>M9/M22</f>
        <v>#DIV/0!</v>
      </c>
      <c r="O9" s="3" t="e">
        <f>K9*H4</f>
        <v>#DIV/0!</v>
      </c>
    </row>
    <row r="10" spans="2:15" x14ac:dyDescent="0.3">
      <c r="F10" s="1" t="s">
        <v>19</v>
      </c>
      <c r="G10" s="19" t="e">
        <f>L10*G13</f>
        <v>#DIV/0!</v>
      </c>
      <c r="H10" s="1"/>
      <c r="I10" s="1"/>
      <c r="J10" s="1">
        <f>I10+H10</f>
        <v>0</v>
      </c>
      <c r="K10" s="21" t="e">
        <f t="shared" ref="K10:K12" si="0">G10+H10+I10</f>
        <v>#DIV/0!</v>
      </c>
      <c r="L10" s="14" t="e">
        <f>J10/J13</f>
        <v>#DIV/0!</v>
      </c>
      <c r="M10" s="11">
        <f>J10*2</f>
        <v>0</v>
      </c>
      <c r="N10" s="7" t="e">
        <f>M10/M22</f>
        <v>#DIV/0!</v>
      </c>
      <c r="O10" s="3" t="e">
        <f>K10*2</f>
        <v>#DIV/0!</v>
      </c>
    </row>
    <row r="11" spans="2:15" x14ac:dyDescent="0.3">
      <c r="F11" s="1" t="s">
        <v>20</v>
      </c>
      <c r="G11" s="19" t="e">
        <f>L11*G13</f>
        <v>#DIV/0!</v>
      </c>
      <c r="H11" s="1"/>
      <c r="I11" s="1"/>
      <c r="J11" s="1">
        <f t="shared" ref="J11:J13" si="1">I11+H11</f>
        <v>0</v>
      </c>
      <c r="K11" s="21" t="e">
        <f t="shared" si="0"/>
        <v>#DIV/0!</v>
      </c>
      <c r="L11" s="14" t="e">
        <f>J11/J13</f>
        <v>#DIV/0!</v>
      </c>
      <c r="M11" s="11">
        <f>J11*H3</f>
        <v>0</v>
      </c>
      <c r="N11" s="7" t="e">
        <f>M11/M22</f>
        <v>#DIV/0!</v>
      </c>
      <c r="O11" s="3" t="e">
        <f>K11*H3</f>
        <v>#DIV/0!</v>
      </c>
    </row>
    <row r="12" spans="2:15" x14ac:dyDescent="0.3">
      <c r="F12" s="1" t="s">
        <v>4</v>
      </c>
      <c r="G12" s="19" t="e">
        <f>L12*G13</f>
        <v>#DIV/0!</v>
      </c>
      <c r="H12" s="1"/>
      <c r="I12" s="1"/>
      <c r="J12" s="1">
        <f t="shared" si="1"/>
        <v>0</v>
      </c>
      <c r="K12" s="21" t="e">
        <f t="shared" si="0"/>
        <v>#DIV/0!</v>
      </c>
      <c r="L12" s="14" t="e">
        <f>J12/J13</f>
        <v>#DIV/0!</v>
      </c>
      <c r="M12" s="11">
        <f>J12*H2</f>
        <v>0</v>
      </c>
      <c r="N12" s="7" t="e">
        <f>M12/M22</f>
        <v>#DIV/0!</v>
      </c>
      <c r="O12" s="3" t="e">
        <f>K12*H2</f>
        <v>#DIV/0!</v>
      </c>
    </row>
    <row r="13" spans="2:15" x14ac:dyDescent="0.3">
      <c r="F13" s="1" t="s">
        <v>21</v>
      </c>
      <c r="G13" s="16">
        <v>128862</v>
      </c>
      <c r="H13" s="1">
        <f>SUM(H9:H12)</f>
        <v>0</v>
      </c>
      <c r="I13" s="1">
        <f>SUM(I9:I12)</f>
        <v>0</v>
      </c>
      <c r="J13" s="1">
        <f t="shared" si="1"/>
        <v>0</v>
      </c>
      <c r="K13" s="9"/>
      <c r="L13" s="9"/>
      <c r="M13" s="12">
        <f>SUM(M9:M12)</f>
        <v>0</v>
      </c>
      <c r="O13" s="12" t="e">
        <f>SUM(O9:O12)</f>
        <v>#DIV/0!</v>
      </c>
    </row>
    <row r="14" spans="2:15" x14ac:dyDescent="0.3">
      <c r="F14" s="1"/>
      <c r="G14" s="1"/>
      <c r="H14" s="1"/>
      <c r="I14" s="1"/>
      <c r="J14" s="1"/>
      <c r="K14" s="9"/>
      <c r="L14" s="9"/>
    </row>
    <row r="17" spans="1:19" x14ac:dyDescent="0.3">
      <c r="F17" s="1" t="s">
        <v>31</v>
      </c>
      <c r="G17" s="1"/>
      <c r="H17" s="1" t="s">
        <v>29</v>
      </c>
      <c r="I17" s="1" t="s">
        <v>30</v>
      </c>
      <c r="J17" s="1" t="s">
        <v>32</v>
      </c>
      <c r="K17" s="1"/>
      <c r="L17" s="1" t="s">
        <v>9</v>
      </c>
      <c r="M17" s="1"/>
    </row>
    <row r="18" spans="1:19" x14ac:dyDescent="0.3">
      <c r="F18" s="1" t="s">
        <v>27</v>
      </c>
      <c r="G18" s="1"/>
      <c r="H18" s="1"/>
      <c r="I18" s="1"/>
      <c r="J18" s="1">
        <f>I18+H18</f>
        <v>0</v>
      </c>
      <c r="K18" s="1"/>
      <c r="L18" s="5">
        <v>0.51</v>
      </c>
      <c r="M18" s="1">
        <f>L18*J18</f>
        <v>0</v>
      </c>
    </row>
    <row r="19" spans="1:19" x14ac:dyDescent="0.3">
      <c r="F19" s="1" t="s">
        <v>28</v>
      </c>
      <c r="G19" s="1"/>
      <c r="H19" s="1"/>
      <c r="I19" s="1"/>
      <c r="J19" s="1">
        <f>I19+H19</f>
        <v>0</v>
      </c>
      <c r="K19" s="1"/>
      <c r="L19" s="5">
        <v>1.5</v>
      </c>
      <c r="M19" s="1">
        <f>L19*J19</f>
        <v>0</v>
      </c>
    </row>
    <row r="20" spans="1:19" x14ac:dyDescent="0.3">
      <c r="F20" s="1"/>
      <c r="G20" s="1"/>
      <c r="H20" s="1">
        <f>H18+H19</f>
        <v>0</v>
      </c>
      <c r="I20" s="1">
        <f>I18+I19</f>
        <v>0</v>
      </c>
      <c r="J20" s="1">
        <f>J18+J19</f>
        <v>0</v>
      </c>
      <c r="K20" s="1"/>
      <c r="L20" s="1"/>
      <c r="M20" s="13">
        <f>M18+M19</f>
        <v>0</v>
      </c>
    </row>
    <row r="21" spans="1:19" x14ac:dyDescent="0.3">
      <c r="N21" s="8"/>
    </row>
    <row r="22" spans="1:19" x14ac:dyDescent="0.3">
      <c r="L22" t="s">
        <v>33</v>
      </c>
      <c r="M22" s="12">
        <f>M13+M20</f>
        <v>0</v>
      </c>
      <c r="N22" t="e">
        <f>M22/M5*100</f>
        <v>#DIV/0!</v>
      </c>
      <c r="O22" s="12" t="e">
        <f>O13+M20</f>
        <v>#DIV/0!</v>
      </c>
    </row>
    <row r="24" spans="1:19" x14ac:dyDescent="0.3">
      <c r="A24" t="s">
        <v>11</v>
      </c>
      <c r="F24" s="1"/>
      <c r="G24" s="1"/>
      <c r="H24" s="1" t="s">
        <v>6</v>
      </c>
      <c r="I24" s="1"/>
      <c r="J24" s="1" t="s">
        <v>8</v>
      </c>
      <c r="K24" s="1"/>
      <c r="L24" s="1"/>
      <c r="M24" s="1" t="s">
        <v>9</v>
      </c>
    </row>
    <row r="25" spans="1:19" x14ac:dyDescent="0.3">
      <c r="F25" s="1" t="s">
        <v>26</v>
      </c>
      <c r="G25" s="1"/>
      <c r="H25" s="5">
        <v>7.26</v>
      </c>
      <c r="I25" s="1"/>
      <c r="J25" s="1"/>
      <c r="K25" s="1"/>
      <c r="L25" s="1"/>
      <c r="M25" s="4">
        <f>J25*H25</f>
        <v>0</v>
      </c>
    </row>
    <row r="26" spans="1:19" x14ac:dyDescent="0.3">
      <c r="F26" s="1" t="s">
        <v>19</v>
      </c>
      <c r="G26" s="1"/>
      <c r="H26" s="5">
        <v>2</v>
      </c>
      <c r="I26" s="1"/>
      <c r="J26" s="1">
        <f>J10</f>
        <v>0</v>
      </c>
      <c r="K26" s="1"/>
      <c r="L26" s="1"/>
      <c r="M26" s="4">
        <f>J26*H26</f>
        <v>0</v>
      </c>
    </row>
    <row r="27" spans="1:19" x14ac:dyDescent="0.3">
      <c r="F27" s="1" t="s">
        <v>20</v>
      </c>
      <c r="G27" s="1"/>
      <c r="H27" s="5">
        <v>1.5</v>
      </c>
      <c r="I27" s="1"/>
      <c r="J27" s="1">
        <f>J9+J11</f>
        <v>0</v>
      </c>
      <c r="K27" s="1"/>
      <c r="L27" s="1"/>
      <c r="M27" s="4">
        <f t="shared" ref="M27:M28" si="2">J27*H27</f>
        <v>0</v>
      </c>
      <c r="P27" s="1"/>
      <c r="Q27" s="1" t="s">
        <v>42</v>
      </c>
      <c r="R27" s="1" t="s">
        <v>40</v>
      </c>
      <c r="S27" s="1" t="s">
        <v>41</v>
      </c>
    </row>
    <row r="28" spans="1:19" x14ac:dyDescent="0.3">
      <c r="F28" s="1" t="s">
        <v>4</v>
      </c>
      <c r="G28" s="1"/>
      <c r="H28" s="5">
        <v>0.51</v>
      </c>
      <c r="I28" s="1"/>
      <c r="J28" s="1">
        <f>J12</f>
        <v>0</v>
      </c>
      <c r="K28" s="1"/>
      <c r="L28" s="1"/>
      <c r="M28" s="4">
        <f t="shared" si="2"/>
        <v>0</v>
      </c>
      <c r="P28" s="1" t="s">
        <v>18</v>
      </c>
      <c r="Q28" s="4">
        <v>121506.78470684835</v>
      </c>
      <c r="R28" s="1">
        <v>7.26</v>
      </c>
      <c r="S28" s="4">
        <f>R28*Q28</f>
        <v>882139.25697171898</v>
      </c>
    </row>
    <row r="29" spans="1:19" x14ac:dyDescent="0.3">
      <c r="F29" s="1" t="s">
        <v>21</v>
      </c>
      <c r="G29" s="1"/>
      <c r="H29" s="1"/>
      <c r="I29" s="1"/>
      <c r="J29" s="1">
        <f>SUM(J25:J28)</f>
        <v>0</v>
      </c>
      <c r="K29" s="1"/>
      <c r="L29" s="1"/>
      <c r="M29" s="6">
        <f>SUM(M25:M28)</f>
        <v>0</v>
      </c>
      <c r="N29" s="3">
        <f>M29-M13</f>
        <v>0</v>
      </c>
      <c r="P29" s="1" t="s">
        <v>19</v>
      </c>
      <c r="Q29" s="4">
        <v>60011.831852244497</v>
      </c>
      <c r="R29" s="1">
        <v>2</v>
      </c>
      <c r="S29" s="4">
        <f t="shared" ref="S29:S33" si="3">R29*Q29</f>
        <v>120023.66370448899</v>
      </c>
    </row>
    <row r="30" spans="1:19" x14ac:dyDescent="0.3">
      <c r="M30" s="3">
        <f>M29/1000</f>
        <v>0</v>
      </c>
      <c r="N30" s="3"/>
      <c r="P30" s="1" t="s">
        <v>20</v>
      </c>
      <c r="Q30" s="4">
        <v>413550.65718769812</v>
      </c>
      <c r="R30" s="1">
        <v>1.5</v>
      </c>
      <c r="S30" s="4">
        <f t="shared" si="3"/>
        <v>620325.98578154715</v>
      </c>
    </row>
    <row r="31" spans="1:19" x14ac:dyDescent="0.3">
      <c r="P31" s="1" t="s">
        <v>4</v>
      </c>
      <c r="Q31" s="4">
        <v>399709.72625320905</v>
      </c>
      <c r="R31" s="1">
        <v>0.51</v>
      </c>
      <c r="S31" s="4">
        <f t="shared" si="3"/>
        <v>203851.96038913663</v>
      </c>
    </row>
    <row r="32" spans="1:19" x14ac:dyDescent="0.3">
      <c r="A32" t="s">
        <v>13</v>
      </c>
      <c r="F32" s="1"/>
      <c r="G32" s="1"/>
      <c r="H32" s="1" t="s">
        <v>6</v>
      </c>
      <c r="I32" s="1"/>
      <c r="J32" s="1" t="s">
        <v>8</v>
      </c>
      <c r="K32" s="1"/>
      <c r="L32" s="1"/>
      <c r="M32" s="1" t="s">
        <v>9</v>
      </c>
      <c r="P32" s="1" t="s">
        <v>38</v>
      </c>
      <c r="Q32" s="4">
        <v>15617</v>
      </c>
      <c r="R32" s="1">
        <v>0.51</v>
      </c>
      <c r="S32" s="4">
        <f t="shared" si="3"/>
        <v>7964.67</v>
      </c>
    </row>
    <row r="33" spans="6:19" x14ac:dyDescent="0.3">
      <c r="F33" s="1" t="s">
        <v>26</v>
      </c>
      <c r="G33" s="1"/>
      <c r="H33" s="5">
        <v>7.26</v>
      </c>
      <c r="I33" s="1"/>
      <c r="J33" s="1">
        <f>C6*(I33/5)</f>
        <v>0</v>
      </c>
      <c r="K33" s="1"/>
      <c r="L33" s="1"/>
      <c r="M33" s="4">
        <f>J33*H33</f>
        <v>0</v>
      </c>
      <c r="P33" s="27" t="s">
        <v>39</v>
      </c>
      <c r="Q33" s="4">
        <v>6374</v>
      </c>
      <c r="R33" s="1">
        <v>1.5</v>
      </c>
      <c r="S33" s="4">
        <f t="shared" si="3"/>
        <v>9561</v>
      </c>
    </row>
    <row r="34" spans="6:19" x14ac:dyDescent="0.3">
      <c r="F34" s="1" t="s">
        <v>19</v>
      </c>
      <c r="G34" s="1"/>
      <c r="H34" s="5">
        <v>2</v>
      </c>
      <c r="I34" s="1"/>
      <c r="J34" s="1">
        <f>J10</f>
        <v>0</v>
      </c>
      <c r="K34" s="1"/>
      <c r="L34" s="1"/>
      <c r="M34" s="4">
        <f>J34*H34</f>
        <v>0</v>
      </c>
      <c r="P34" s="1" t="s">
        <v>21</v>
      </c>
      <c r="Q34" s="1"/>
      <c r="R34" s="1"/>
      <c r="S34" s="4">
        <f>SUM(S28:S33)</f>
        <v>1843866.5368468917</v>
      </c>
    </row>
    <row r="35" spans="6:19" x14ac:dyDescent="0.3">
      <c r="F35" s="1" t="s">
        <v>20</v>
      </c>
      <c r="G35" s="1"/>
      <c r="H35" s="5">
        <v>1.5</v>
      </c>
      <c r="I35" s="1"/>
      <c r="J35" s="1">
        <f>J11</f>
        <v>0</v>
      </c>
      <c r="K35" s="1"/>
      <c r="L35" s="1"/>
      <c r="M35" s="4">
        <f>J35*H35</f>
        <v>0</v>
      </c>
    </row>
    <row r="36" spans="6:19" x14ac:dyDescent="0.3">
      <c r="F36" s="1" t="s">
        <v>4</v>
      </c>
      <c r="G36" s="1"/>
      <c r="H36" s="5">
        <v>0.51</v>
      </c>
      <c r="I36" s="1"/>
      <c r="J36" s="1">
        <f>J12</f>
        <v>0</v>
      </c>
      <c r="K36" s="1"/>
      <c r="L36" s="1"/>
      <c r="M36" s="4">
        <f>J36*H36</f>
        <v>0</v>
      </c>
    </row>
    <row r="37" spans="6:19" x14ac:dyDescent="0.3">
      <c r="F37" s="1" t="s">
        <v>12</v>
      </c>
      <c r="G37" s="1"/>
      <c r="H37" s="5">
        <v>0.39</v>
      </c>
      <c r="I37" s="1"/>
      <c r="J37" s="1">
        <f>J9</f>
        <v>0</v>
      </c>
      <c r="K37" s="1"/>
      <c r="L37" s="1"/>
      <c r="M37" s="4">
        <f>J37*H37</f>
        <v>0</v>
      </c>
    </row>
    <row r="38" spans="6:19" x14ac:dyDescent="0.3">
      <c r="F38" s="1" t="s">
        <v>21</v>
      </c>
      <c r="G38" s="1"/>
      <c r="H38" s="1"/>
      <c r="I38" s="1"/>
      <c r="J38" s="1">
        <f>SUM(J33:J37)</f>
        <v>0</v>
      </c>
      <c r="K38" s="1"/>
      <c r="L38" s="1"/>
      <c r="M38" s="6">
        <f>SUM(M33:M37)</f>
        <v>0</v>
      </c>
      <c r="N38" s="3">
        <f>M38-M13</f>
        <v>0</v>
      </c>
    </row>
    <row r="39" spans="6:19" x14ac:dyDescent="0.3">
      <c r="M39" s="3">
        <f>M38+M20</f>
        <v>0</v>
      </c>
    </row>
    <row r="40" spans="6:19" x14ac:dyDescent="0.3">
      <c r="N40" t="e">
        <f>M39/M5*100</f>
        <v>#DIV/0!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GIRAUD LUCAS</dc:creator>
  <cp:lastModifiedBy>GIRAUD LUCAS</cp:lastModifiedBy>
  <dcterms:created xsi:type="dcterms:W3CDTF">2025-06-12T10:01:13Z</dcterms:created>
  <dcterms:modified xsi:type="dcterms:W3CDTF">2026-01-07T13:15:30Z</dcterms:modified>
</cp:coreProperties>
</file>