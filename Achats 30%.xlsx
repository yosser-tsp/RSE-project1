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ransition écologique\01_DEVELOPPEMENT_DURABLE\Projets\Climat\Bilan Carbone - BEGES\Travail reduction BEGES\etudiants tsp classeurs vierges\"/>
    </mc:Choice>
  </mc:AlternateContent>
  <xr:revisionPtr revIDLastSave="0" documentId="13_ncr:1_{C769B217-F6A2-408A-8F48-8C8576DFAF13}" xr6:coauthVersionLast="36" xr6:coauthVersionMax="36" xr10:uidLastSave="{00000000-0000-0000-0000-000000000000}"/>
  <bookViews>
    <workbookView xWindow="0" yWindow="0" windowWidth="23040" windowHeight="9060" xr2:uid="{079BE422-4CAB-4593-81FE-9A72E4F44985}"/>
  </bookViews>
  <sheets>
    <sheet name="Feuil1" sheetId="1" r:id="rId1"/>
    <sheet name="plus gros marchés" sheetId="2" r:id="rId2"/>
  </sheets>
  <externalReferences>
    <externalReference r:id="rId3"/>
  </externalReferences>
  <definedNames>
    <definedName name="_xlnm._FilterDatabase" localSheetId="0" hidden="1">Feuil1!$G$3:$G$43</definedName>
    <definedName name="_xlnm._FilterDatabase" localSheetId="1" hidden="1">'plus gros marchés'!$A$1:$D$96</definedName>
    <definedName name="FE_Intrants_Ratios">'[1]FE Intrants'!$C$1235:$C$1274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18" i="2"/>
  <c r="D9" i="2"/>
  <c r="D15" i="2"/>
  <c r="D8" i="2"/>
  <c r="D32" i="2"/>
  <c r="D26" i="2"/>
  <c r="D40" i="2"/>
  <c r="D28" i="2"/>
  <c r="D23" i="2"/>
  <c r="D39" i="2"/>
  <c r="D76" i="2"/>
  <c r="D85" i="2"/>
  <c r="D86" i="2"/>
  <c r="D7" i="2"/>
  <c r="D10" i="2"/>
  <c r="D14" i="2"/>
  <c r="D16" i="2"/>
  <c r="D17" i="2"/>
  <c r="D19" i="2"/>
  <c r="D24" i="2"/>
  <c r="D25" i="2"/>
  <c r="D27" i="2"/>
  <c r="D31" i="2"/>
  <c r="D33" i="2"/>
  <c r="D43" i="2"/>
  <c r="D45" i="2"/>
  <c r="D47" i="2"/>
  <c r="D49" i="2"/>
  <c r="D52" i="2"/>
  <c r="D56" i="2"/>
  <c r="D57" i="2"/>
  <c r="D58" i="2"/>
  <c r="D59" i="2"/>
  <c r="D60" i="2"/>
  <c r="D62" i="2"/>
  <c r="D64" i="2"/>
  <c r="D66" i="2"/>
  <c r="D70" i="2"/>
  <c r="D72" i="2"/>
  <c r="D74" i="2"/>
  <c r="D77" i="2"/>
  <c r="D79" i="2"/>
  <c r="D80" i="2"/>
  <c r="D81" i="2"/>
  <c r="D84" i="2"/>
  <c r="D87" i="2"/>
  <c r="D88" i="2"/>
  <c r="D13" i="2"/>
  <c r="D89" i="2"/>
  <c r="D20" i="2"/>
  <c r="D21" i="2"/>
  <c r="D22" i="2"/>
  <c r="D29" i="2"/>
  <c r="D30" i="2"/>
  <c r="D34" i="2"/>
  <c r="D35" i="2"/>
  <c r="D36" i="2"/>
  <c r="D37" i="2"/>
  <c r="D90" i="2"/>
  <c r="D41" i="2"/>
  <c r="D42" i="2"/>
  <c r="D44" i="2"/>
  <c r="D91" i="2"/>
  <c r="D46" i="2"/>
  <c r="D48" i="2"/>
  <c r="D50" i="2"/>
  <c r="D51" i="2"/>
  <c r="D53" i="2"/>
  <c r="D55" i="2"/>
  <c r="D61" i="2"/>
  <c r="D63" i="2"/>
  <c r="D65" i="2"/>
  <c r="D67" i="2"/>
  <c r="D68" i="2"/>
  <c r="D69" i="2"/>
  <c r="D71" i="2"/>
  <c r="D92" i="2"/>
  <c r="D73" i="2"/>
  <c r="D75" i="2"/>
  <c r="D78" i="2"/>
  <c r="D82" i="2"/>
  <c r="D83" i="2"/>
  <c r="D93" i="2"/>
  <c r="D94" i="2"/>
  <c r="D95" i="2"/>
  <c r="D11" i="2"/>
  <c r="D96" i="2"/>
  <c r="D12" i="2"/>
  <c r="D38" i="2"/>
  <c r="D54" i="2"/>
  <c r="D2" i="2"/>
  <c r="D54" i="1"/>
  <c r="M10" i="1"/>
  <c r="I46" i="1"/>
  <c r="D98" i="2" l="1"/>
  <c r="E8" i="1"/>
  <c r="E9" i="1"/>
  <c r="E13" i="1" l="1"/>
  <c r="E14" i="1"/>
  <c r="E15" i="1"/>
  <c r="E16" i="1"/>
  <c r="E17" i="1"/>
  <c r="E18" i="1"/>
  <c r="E28" i="1" l="1"/>
  <c r="E29" i="1"/>
  <c r="E5" i="1"/>
  <c r="E6" i="1"/>
  <c r="E7" i="1"/>
  <c r="E12" i="1" l="1"/>
  <c r="E27" i="1"/>
  <c r="P12" i="1" l="1"/>
  <c r="P13" i="1" l="1"/>
</calcChain>
</file>

<file path=xl/sharedStrings.xml><?xml version="1.0" encoding="utf-8"?>
<sst xmlns="http://schemas.openxmlformats.org/spreadsheetml/2006/main" count="234" uniqueCount="123">
  <si>
    <t>SERVICE DE RESTAURATION SCOLAIRE</t>
  </si>
  <si>
    <t>SERVICE DE PORTAGE A DOMICILE</t>
  </si>
  <si>
    <t>TRANSPORTS SCOLAIRES ET LIES AUX ACTIVITES DES SERVICES</t>
  </si>
  <si>
    <t>ENTRETIEN ET MANTENANCE DES BATIMENTS</t>
  </si>
  <si>
    <t>CONTROLES REGLEMENTAIRES PERIODIQUES BATIMENTS</t>
  </si>
  <si>
    <t>ENTRETIEN ET REPARATION DES EQUIPEMENTS DES OFFICE DE RESTAURATION SCOLAIRE</t>
  </si>
  <si>
    <t>FOURNITURE ET REPARATION VIDEOPROTECTION ET HORODATEURS</t>
  </si>
  <si>
    <t>BAIL VOIRIE</t>
  </si>
  <si>
    <t>ENTRETIEN MOBILIER URBAIN</t>
  </si>
  <si>
    <t>LOCATION VETEMENTS DE TRAVAIL DES OFFICES DE RESTAURATION SCOLAIRE</t>
  </si>
  <si>
    <t>GESTION DES OFFICES avec mise a disposition de personnel</t>
  </si>
  <si>
    <t>BLANCHISSERIE OFFICES DE RESTAURATION SCOLAIRE</t>
  </si>
  <si>
    <t>PRESTATIONS DE SURVEILLANCE GARDIENNAGE SECURITE</t>
  </si>
  <si>
    <t>ETUDES DIVERSES POUR EQUIPEMENTS BATIMENTS</t>
  </si>
  <si>
    <t>SEJOURS ETE MINI SEJOURS ET CLASSE DE DECOUVERTES</t>
  </si>
  <si>
    <t>SPECTACLES JEUNESSE</t>
  </si>
  <si>
    <t>PRESTATIONS D ATELIERS POUR DIVERSES MAISONS DE QUARTIERS</t>
  </si>
  <si>
    <t>ATELIERS SUR LA VILLE</t>
  </si>
  <si>
    <t>LOCATION EQUIPEMENTS MOBILIERS POUR EVENEMENTS</t>
  </si>
  <si>
    <t>PRESTATIONS DE DEMENAGEMENTS POUR LES ACTIVITES DE LA VILLE</t>
  </si>
  <si>
    <t>TRAVAUX AMENAGEMENT PAYSAGER</t>
  </si>
  <si>
    <t>MAINTENANCE ET REPARATION AIRES DE JEUX ET ESPACES PUBLICS</t>
  </si>
  <si>
    <t>MAINTENANCE DES FONTAINES SUR ESPACE PUBLIC</t>
  </si>
  <si>
    <t>MAINTENANCE DES MATERIELS DE SPORT</t>
  </si>
  <si>
    <t>DENEIGEMENT</t>
  </si>
  <si>
    <t>REPARATION DES VEHICULES ET CONTROLES</t>
  </si>
  <si>
    <t>MAINTENANCE INSTRUMENTS DE MESURE POLICE MUNICIPALE</t>
  </si>
  <si>
    <t>VETERINAIRE POUR CHIENS POLICE MUNICIPALE</t>
  </si>
  <si>
    <t>MAINTENANCE DES LOGICIELS ET PROGICIELS</t>
  </si>
  <si>
    <t>TRAVAUX DE CABLAGES INFORMATIQUES</t>
  </si>
  <si>
    <t>TRAVAUX DE FONCTIONNEMENT COURANT</t>
  </si>
  <si>
    <t>TRAVAUX PPI</t>
  </si>
  <si>
    <t>PRESTATION ETUDES OU CONSEILS OR BATIMENTS</t>
  </si>
  <si>
    <t>FORMATIONS PROFESSIONNELLES</t>
  </si>
  <si>
    <t>PRESTATION ACCOMPAGNEMENT CYBERSECURITE</t>
  </si>
  <si>
    <t>PRESTATIONS AVOCATS</t>
  </si>
  <si>
    <t>SIGNALETIQUE DE COMMUNICATION</t>
  </si>
  <si>
    <t>TRAVAUX D IMPRESSION TOUS SUPPORTS</t>
  </si>
  <si>
    <t>TELEPHONIE FIXE ET MOBILE</t>
  </si>
  <si>
    <t>COTISATIONS ORGANISMES DIVERS</t>
  </si>
  <si>
    <t>PRESTATION RESERVATION PLACES EN CRECHE</t>
  </si>
  <si>
    <t>SORTIES SCOLAIRES PARC MUSEE etc</t>
  </si>
  <si>
    <t>DROITS ENTREE PARC MUSEE etc</t>
  </si>
  <si>
    <t>FRAIS DE MISE EN FOURRIERE</t>
  </si>
  <si>
    <t>ASSURANCES DOMMAGE OUVRAGE</t>
  </si>
  <si>
    <t>ASSURANCES</t>
  </si>
  <si>
    <t>Par catégorie : papier, stylos, cartons, cartouches, …</t>
  </si>
  <si>
    <r>
      <t xml:space="preserve">A renseigner </t>
    </r>
    <r>
      <rPr>
        <b/>
        <i/>
        <sz val="11"/>
        <color rgb="FF000000"/>
        <rFont val="Calibri"/>
        <family val="2"/>
        <scheme val="minor"/>
      </rPr>
      <t>en dernier recours</t>
    </r>
    <r>
      <rPr>
        <i/>
        <sz val="11"/>
        <color rgb="FF000000"/>
        <rFont val="Calibri"/>
        <family val="2"/>
        <scheme val="minor"/>
      </rPr>
      <t xml:space="preserve"> si pas de donnée sur la quantité
en €</t>
    </r>
  </si>
  <si>
    <t>PAPIER</t>
  </si>
  <si>
    <t>CONSOMMABLES INFORMATIQUES</t>
  </si>
  <si>
    <t>LOCATION COPIEURS</t>
  </si>
  <si>
    <t>EAU ET ASSAINISSEMENT</t>
  </si>
  <si>
    <t>ELECTRICITE GAZ</t>
  </si>
  <si>
    <t>CHAUFFAGE</t>
  </si>
  <si>
    <t>LOGICIELS INFORMATIQUES</t>
  </si>
  <si>
    <t>PANNEAU DE SIGNALISATION ET MOBILIER URBAIN</t>
  </si>
  <si>
    <t>MODULAIRES</t>
  </si>
  <si>
    <t>DENREES ALIMENTAIRES</t>
  </si>
  <si>
    <t>DENREES CRECHES</t>
  </si>
  <si>
    <t>PANNEAUX DE SIGNALISATION</t>
  </si>
  <si>
    <t>VEGETAUX ARBRES ARBUSTES FLEURS...</t>
  </si>
  <si>
    <t>FLEURS POUR FETES ET CEREMONIES</t>
  </si>
  <si>
    <t>FOURNITURE DE PETIT EQUIPEMENTS</t>
  </si>
  <si>
    <t>FOURNITURES TECHNIQUES POUR REGIE BATIMENTS</t>
  </si>
  <si>
    <t>FOURNITURES TECHNIQUES POUR ESPACES VERTS</t>
  </si>
  <si>
    <t>FOURNITURES TECHNIQUES POUR GARAGE MUNICIPAL</t>
  </si>
  <si>
    <t>FOURNITURES TECHNIQUES POUR OFFICES DE RESTAURATION</t>
  </si>
  <si>
    <t>FOURNITURES PETIT EQUIPEMENT DE SPORT</t>
  </si>
  <si>
    <t>FOURNITURES PETIT EQUIPEMENT AUTRES ACTIVITES ET SERVICES</t>
  </si>
  <si>
    <t>CARBURANT</t>
  </si>
  <si>
    <t>EQUIPEMENTS OFFICE DE RESTAURATION OR MOBILIER</t>
  </si>
  <si>
    <t>MATERIELS PEDAGOGIQUES PETITE ENFANCE ET AUTRES</t>
  </si>
  <si>
    <t>MATERIELS PEDAGOGIQUES SCOLAIRE</t>
  </si>
  <si>
    <t>VETEMENTS DE TRAVAIL</t>
  </si>
  <si>
    <t>EQUIPEMENTS DE PROTECTION POLICE MUNICIPALE</t>
  </si>
  <si>
    <t>PETIT EQUIPEMENT POUR POLICE MUNICIPALE</t>
  </si>
  <si>
    <t>EQUIPEMENTS POUR LA LOGISTIQUE DES ACTIVITES DE DEMENAGEMENT ET DES EVENEMENTS</t>
  </si>
  <si>
    <t>CONSOMMABLES PRODUITS DE SANTE</t>
  </si>
  <si>
    <t>FOUNITURES SCOLAIRES</t>
  </si>
  <si>
    <t>FOURNITURES DE BUREAU</t>
  </si>
  <si>
    <t>ACHATS DE LIVRES</t>
  </si>
  <si>
    <t>OUVRAGES SCOLAIRES</t>
  </si>
  <si>
    <t>AUTRES FOURNITURES DE CONSOMMABLES DIVERS</t>
  </si>
  <si>
    <t>BILLETS AVION</t>
  </si>
  <si>
    <t>HOTELLERIE</t>
  </si>
  <si>
    <t>RECEPTIONS EVENEMENTS</t>
  </si>
  <si>
    <t>AFFRANCHISSEMENT LA POSTE</t>
  </si>
  <si>
    <t>Fournitures</t>
  </si>
  <si>
    <t>Services</t>
  </si>
  <si>
    <t>Achats :</t>
  </si>
  <si>
    <t>Par catégorie : chaises, bureaux, vestes, fours, ...</t>
  </si>
  <si>
    <t>MATERIEL DE BUREAU ET INFORMATIQUE</t>
  </si>
  <si>
    <t>VEHICULES</t>
  </si>
  <si>
    <t>MOBILIERS DE BUREAU</t>
  </si>
  <si>
    <t>MOBILIER SCOLAIRE</t>
  </si>
  <si>
    <t>MOBILIER POUR OFFICES DE RESTAURATION</t>
  </si>
  <si>
    <t>Si disponible</t>
  </si>
  <si>
    <t>Toute précision supplémentaire</t>
  </si>
  <si>
    <t>Produits d'entretien</t>
  </si>
  <si>
    <t>Service petite enfance</t>
  </si>
  <si>
    <t>Structure crèche et multi</t>
  </si>
  <si>
    <t>Produits consommables</t>
  </si>
  <si>
    <t>Service scolaire</t>
  </si>
  <si>
    <t>Structure école mater</t>
  </si>
  <si>
    <t>Service Garage Mécanique</t>
  </si>
  <si>
    <t>Garage</t>
  </si>
  <si>
    <t>CTM</t>
  </si>
  <si>
    <t>Service OREL - restauration</t>
  </si>
  <si>
    <t>offices de restauration</t>
  </si>
  <si>
    <t>kgCO2e/keuros</t>
  </si>
  <si>
    <t>Somme 2024</t>
  </si>
  <si>
    <t>Emissions kg C02 2024</t>
  </si>
  <si>
    <t>NETTOIEMENT VOIRIE (ESV / FENOUILLET)</t>
  </si>
  <si>
    <t>Emissions 2024</t>
  </si>
  <si>
    <t>LOCATION ILLUMINATIONS (marché de 400000 sur 4 ans)</t>
  </si>
  <si>
    <t>ENTRETIEN DES ESPACES VERTS ET PLACES (CHEMOFORM, EUROVERT)</t>
  </si>
  <si>
    <t>NETTOYAGE DES OFFICES DE RESTAURATION (SAMSIC)</t>
  </si>
  <si>
    <t>TRAVAUX INVESTISSEMENTS COURANT (ESV VO et BE)</t>
  </si>
  <si>
    <t>kgC02e/k euros</t>
  </si>
  <si>
    <t>Montant 2024</t>
  </si>
  <si>
    <t>Marchés</t>
  </si>
  <si>
    <t>Impact C02 / k €</t>
  </si>
  <si>
    <t>Impact C02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</si>
</sst>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color theme="3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59999389629810485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1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3" fontId="4" fillId="0" borderId="0" xfId="0" applyNumberFormat="1" applyFont="1"/>
    <xf numFmtId="0" fontId="0" fillId="0" borderId="0" xfId="0" applyBorder="1"/>
    <xf numFmtId="0" fontId="0" fillId="0" borderId="0" xfId="0" applyBorder="1" applyAlignment="1">
      <alignment vertical="center" wrapText="1"/>
    </xf>
    <xf numFmtId="9" fontId="0" fillId="0" borderId="0" xfId="1" applyFont="1"/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0" fillId="3" borderId="5" xfId="0" applyFill="1" applyBorder="1" applyAlignment="1">
      <alignment horizontal="center" vertical="center" wrapText="1"/>
    </xf>
    <xf numFmtId="3" fontId="0" fillId="3" borderId="5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vertical="center" wrapText="1"/>
    </xf>
    <xf numFmtId="0" fontId="6" fillId="0" borderId="5" xfId="0" applyFont="1" applyBorder="1"/>
    <xf numFmtId="0" fontId="6" fillId="4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164" fontId="0" fillId="0" borderId="5" xfId="2" applyNumberFormat="1" applyFont="1" applyBorder="1"/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/>
    <xf numFmtId="3" fontId="9" fillId="0" borderId="6" xfId="0" applyNumberFormat="1" applyFont="1" applyBorder="1" applyAlignment="1">
      <alignment vertical="center"/>
    </xf>
    <xf numFmtId="4" fontId="11" fillId="6" borderId="0" xfId="0" applyNumberFormat="1" applyFont="1" applyFill="1" applyAlignment="1">
      <alignment vertical="center"/>
    </xf>
    <xf numFmtId="0" fontId="0" fillId="7" borderId="5" xfId="0" applyFill="1" applyBorder="1" applyAlignment="1">
      <alignment horizontal="center" vertical="center" wrapText="1"/>
    </xf>
    <xf numFmtId="0" fontId="0" fillId="7" borderId="5" xfId="0" applyFill="1" applyBorder="1"/>
    <xf numFmtId="0" fontId="6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164" fontId="0" fillId="5" borderId="5" xfId="2" applyNumberFormat="1" applyFont="1" applyFill="1" applyBorder="1" applyAlignment="1">
      <alignment horizontal="center"/>
    </xf>
    <xf numFmtId="164" fontId="0" fillId="7" borderId="5" xfId="2" applyNumberFormat="1" applyFont="1" applyFill="1" applyBorder="1" applyAlignment="1">
      <alignment horizontal="center"/>
    </xf>
    <xf numFmtId="164" fontId="0" fillId="0" borderId="5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5" xfId="0" applyBorder="1" applyAlignment="1">
      <alignment wrapText="1"/>
    </xf>
    <xf numFmtId="164" fontId="0" fillId="0" borderId="5" xfId="2" applyNumberFormat="1" applyFont="1" applyBorder="1" applyAlignment="1">
      <alignment wrapText="1"/>
    </xf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/>
    <xf numFmtId="164" fontId="0" fillId="8" borderId="5" xfId="2" applyNumberFormat="1" applyFont="1" applyFill="1" applyBorder="1" applyAlignment="1">
      <alignment horizontal="center"/>
    </xf>
    <xf numFmtId="0" fontId="0" fillId="9" borderId="5" xfId="0" applyFill="1" applyBorder="1" applyAlignment="1">
      <alignment horizontal="center" vertical="center" wrapText="1"/>
    </xf>
    <xf numFmtId="0" fontId="0" fillId="9" borderId="5" xfId="0" applyFill="1" applyBorder="1"/>
    <xf numFmtId="164" fontId="0" fillId="9" borderId="5" xfId="2" applyNumberFormat="1" applyFont="1" applyFill="1" applyBorder="1" applyAlignment="1">
      <alignment horizontal="center"/>
    </xf>
    <xf numFmtId="0" fontId="0" fillId="10" borderId="5" xfId="0" applyFill="1" applyBorder="1" applyAlignment="1">
      <alignment horizontal="center" vertical="center" wrapText="1"/>
    </xf>
    <xf numFmtId="0" fontId="0" fillId="10" borderId="5" xfId="0" applyFill="1" applyBorder="1"/>
    <xf numFmtId="164" fontId="0" fillId="10" borderId="5" xfId="2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/>
    <xf numFmtId="164" fontId="0" fillId="4" borderId="5" xfId="2" applyNumberFormat="1" applyFont="1" applyFill="1" applyBorder="1" applyAlignment="1">
      <alignment horizontal="center"/>
    </xf>
    <xf numFmtId="0" fontId="0" fillId="11" borderId="0" xfId="0" applyFill="1"/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/>
    <xf numFmtId="0" fontId="0" fillId="12" borderId="5" xfId="0" applyFill="1" applyBorder="1" applyAlignment="1">
      <alignment horizontal="center" vertical="center" wrapText="1"/>
    </xf>
    <xf numFmtId="0" fontId="0" fillId="12" borderId="5" xfId="0" applyFill="1" applyBorder="1"/>
    <xf numFmtId="164" fontId="0" fillId="12" borderId="5" xfId="2" applyNumberFormat="1" applyFont="1" applyFill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4" fontId="0" fillId="3" borderId="0" xfId="2" applyNumberFormat="1" applyFont="1" applyFill="1"/>
    <xf numFmtId="3" fontId="6" fillId="0" borderId="5" xfId="0" applyNumberFormat="1" applyFont="1" applyBorder="1" applyAlignment="1">
      <alignment horizontal="center"/>
    </xf>
    <xf numFmtId="0" fontId="4" fillId="0" borderId="5" xfId="0" applyFont="1" applyBorder="1"/>
    <xf numFmtId="164" fontId="4" fillId="0" borderId="5" xfId="2" applyNumberFormat="1" applyFont="1" applyBorder="1"/>
    <xf numFmtId="0" fontId="0" fillId="3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5" xfId="0" applyFill="1" applyBorder="1"/>
    <xf numFmtId="164" fontId="0" fillId="0" borderId="0" xfId="0" applyNumberFormat="1" applyBorder="1"/>
    <xf numFmtId="0" fontId="7" fillId="13" borderId="0" xfId="0" applyFont="1" applyFill="1" applyBorder="1" applyAlignment="1">
      <alignment vertical="center"/>
    </xf>
    <xf numFmtId="0" fontId="7" fillId="13" borderId="0" xfId="0" applyFont="1" applyFill="1" applyAlignment="1">
      <alignment vertical="center"/>
    </xf>
    <xf numFmtId="3" fontId="7" fillId="13" borderId="6" xfId="0" applyNumberFormat="1" applyFont="1" applyFill="1" applyBorder="1" applyAlignment="1">
      <alignment vertical="center"/>
    </xf>
    <xf numFmtId="3" fontId="8" fillId="13" borderId="0" xfId="0" applyNumberFormat="1" applyFont="1" applyFill="1" applyAlignment="1">
      <alignment vertical="center"/>
    </xf>
    <xf numFmtId="3" fontId="7" fillId="13" borderId="7" xfId="0" applyNumberFormat="1" applyFont="1" applyFill="1" applyBorder="1" applyAlignment="1">
      <alignment vertical="center"/>
    </xf>
    <xf numFmtId="3" fontId="7" fillId="13" borderId="8" xfId="0" applyNumberFormat="1" applyFont="1" applyFill="1" applyBorder="1" applyAlignment="1">
      <alignment vertical="center"/>
    </xf>
    <xf numFmtId="0" fontId="9" fillId="14" borderId="0" xfId="0" applyFont="1" applyFill="1" applyBorder="1" applyAlignment="1">
      <alignment vertical="center"/>
    </xf>
    <xf numFmtId="0" fontId="9" fillId="14" borderId="0" xfId="0" applyFont="1" applyFill="1" applyAlignment="1">
      <alignment vertical="center"/>
    </xf>
    <xf numFmtId="3" fontId="10" fillId="14" borderId="0" xfId="0" applyNumberFormat="1" applyFont="1" applyFill="1" applyAlignment="1">
      <alignment vertical="center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'plus gros marchés'!#REF!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'plus gros marchés'!$A$2:$A$8</c:f>
              <c:strCache>
                <c:ptCount val="7"/>
                <c:pt idx="0">
                  <c:v>TRAVAUX INVESTISSEMENTS COURANT (ESV VO et BE)</c:v>
                </c:pt>
                <c:pt idx="1">
                  <c:v>NETTOIEMENT VOIRIE (ESV / FENOUILLET)</c:v>
                </c:pt>
                <c:pt idx="2">
                  <c:v>ENTRETIEN DES ESPACES VERTS ET PLACES (CHEMOFORM, EUROVERT)</c:v>
                </c:pt>
                <c:pt idx="3">
                  <c:v>NETTOYAGE DES OFFICES DE RESTAURATION (SAMSIC)</c:v>
                </c:pt>
                <c:pt idx="4">
                  <c:v>GESTION DES OFFICES avec mise a disposition de personnel</c:v>
                </c:pt>
                <c:pt idx="5">
                  <c:v>ETUDES DIVERSES POUR EQUIPEMENTS BATIMENTS</c:v>
                </c:pt>
                <c:pt idx="6">
                  <c:v>ASSURANCES</c:v>
                </c:pt>
              </c:strCache>
              <c:extLst xmlns:c15="http://schemas.microsoft.com/office/drawing/2012/chart"/>
            </c:strRef>
          </c:cat>
          <c:val>
            <c:numRef>
              <c:f>'plus gros marchés'!#REF!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539C-494F-9120-9A70ADAACB56}"/>
            </c:ext>
          </c:extLst>
        </c:ser>
        <c:ser>
          <c:idx val="2"/>
          <c:order val="2"/>
          <c:tx>
            <c:strRef>
              <c:f>'plus gros marchés'!#REF!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'plus gros marchés'!$A$2:$A$8</c:f>
              <c:strCache>
                <c:ptCount val="7"/>
                <c:pt idx="0">
                  <c:v>TRAVAUX INVESTISSEMENTS COURANT (ESV VO et BE)</c:v>
                </c:pt>
                <c:pt idx="1">
                  <c:v>NETTOIEMENT VOIRIE (ESV / FENOUILLET)</c:v>
                </c:pt>
                <c:pt idx="2">
                  <c:v>ENTRETIEN DES ESPACES VERTS ET PLACES (CHEMOFORM, EUROVERT)</c:v>
                </c:pt>
                <c:pt idx="3">
                  <c:v>NETTOYAGE DES OFFICES DE RESTAURATION (SAMSIC)</c:v>
                </c:pt>
                <c:pt idx="4">
                  <c:v>GESTION DES OFFICES avec mise a disposition de personnel</c:v>
                </c:pt>
                <c:pt idx="5">
                  <c:v>ETUDES DIVERSES POUR EQUIPEMENTS BATIMENTS</c:v>
                </c:pt>
                <c:pt idx="6">
                  <c:v>ASSURANCES</c:v>
                </c:pt>
              </c:strCache>
              <c:extLst xmlns:c15="http://schemas.microsoft.com/office/drawing/2012/chart"/>
            </c:strRef>
          </c:cat>
          <c:val>
            <c:numRef>
              <c:f>'plus gros marchés'!#REF!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39C-494F-9120-9A70ADAACB56}"/>
            </c:ext>
          </c:extLst>
        </c:ser>
        <c:ser>
          <c:idx val="3"/>
          <c:order val="3"/>
          <c:tx>
            <c:strRef>
              <c:f>'plus gros marchés'!#REF!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'plus gros marchés'!$A$2:$A$8</c:f>
              <c:strCache>
                <c:ptCount val="7"/>
                <c:pt idx="0">
                  <c:v>TRAVAUX INVESTISSEMENTS COURANT (ESV VO et BE)</c:v>
                </c:pt>
                <c:pt idx="1">
                  <c:v>NETTOIEMENT VOIRIE (ESV / FENOUILLET)</c:v>
                </c:pt>
                <c:pt idx="2">
                  <c:v>ENTRETIEN DES ESPACES VERTS ET PLACES (CHEMOFORM, EUROVERT)</c:v>
                </c:pt>
                <c:pt idx="3">
                  <c:v>NETTOYAGE DES OFFICES DE RESTAURATION (SAMSIC)</c:v>
                </c:pt>
                <c:pt idx="4">
                  <c:v>GESTION DES OFFICES avec mise a disposition de personnel</c:v>
                </c:pt>
                <c:pt idx="5">
                  <c:v>ETUDES DIVERSES POUR EQUIPEMENTS BATIMENTS</c:v>
                </c:pt>
                <c:pt idx="6">
                  <c:v>ASSURANCES</c:v>
                </c:pt>
              </c:strCache>
              <c:extLst xmlns:c15="http://schemas.microsoft.com/office/drawing/2012/chart"/>
            </c:strRef>
          </c:cat>
          <c:val>
            <c:numRef>
              <c:f>'plus gros marchés'!#REF!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39C-494F-9120-9A70ADAACB56}"/>
            </c:ext>
          </c:extLst>
        </c:ser>
        <c:ser>
          <c:idx val="4"/>
          <c:order val="4"/>
          <c:tx>
            <c:strRef>
              <c:f>'plus gros marchés'!$C$1</c:f>
              <c:strCache>
                <c:ptCount val="1"/>
                <c:pt idx="0">
                  <c:v>Somme 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'plus gros marchés'!$A$2:$A$8</c:f>
              <c:strCache>
                <c:ptCount val="7"/>
                <c:pt idx="0">
                  <c:v>TRAVAUX INVESTISSEMENTS COURANT (ESV VO et BE)</c:v>
                </c:pt>
                <c:pt idx="1">
                  <c:v>NETTOIEMENT VOIRIE (ESV / FENOUILLET)</c:v>
                </c:pt>
                <c:pt idx="2">
                  <c:v>ENTRETIEN DES ESPACES VERTS ET PLACES (CHEMOFORM, EUROVERT)</c:v>
                </c:pt>
                <c:pt idx="3">
                  <c:v>NETTOYAGE DES OFFICES DE RESTAURATION (SAMSIC)</c:v>
                </c:pt>
                <c:pt idx="4">
                  <c:v>GESTION DES OFFICES avec mise a disposition de personnel</c:v>
                </c:pt>
                <c:pt idx="5">
                  <c:v>ETUDES DIVERSES POUR EQUIPEMENTS BATIMENTS</c:v>
                </c:pt>
                <c:pt idx="6">
                  <c:v>ASSURANCES</c:v>
                </c:pt>
              </c:strCache>
            </c:strRef>
          </c:cat>
          <c:val>
            <c:numRef>
              <c:f>'plus gros marchés'!$C$2:$C$8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4-539C-494F-9120-9A70ADAAC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36031"/>
        <c:axId val="57547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'plus gros marchés'!$B$1</c15:sqref>
                        </c15:formulaRef>
                      </c:ext>
                    </c:extLst>
                    <c:strCache>
                      <c:ptCount val="1"/>
                      <c:pt idx="0">
                        <c:v>Impact C02 / k €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'plus gros marchés'!$A$2:$A$8</c15:sqref>
                        </c15:formulaRef>
                      </c:ext>
                    </c:extLst>
                    <c:strCache>
                      <c:ptCount val="7"/>
                      <c:pt idx="0">
                        <c:v>TRAVAUX INVESTISSEMENTS COURANT (ESV VO et BE)</c:v>
                      </c:pt>
                      <c:pt idx="1">
                        <c:v>NETTOIEMENT VOIRIE (ESV / FENOUILLET)</c:v>
                      </c:pt>
                      <c:pt idx="2">
                        <c:v>ENTRETIEN DES ESPACES VERTS ET PLACES (CHEMOFORM, EUROVERT)</c:v>
                      </c:pt>
                      <c:pt idx="3">
                        <c:v>NETTOYAGE DES OFFICES DE RESTAURATION (SAMSIC)</c:v>
                      </c:pt>
                      <c:pt idx="4">
                        <c:v>GESTION DES OFFICES avec mise a disposition de personnel</c:v>
                      </c:pt>
                      <c:pt idx="5">
                        <c:v>ETUDES DIVERSES POUR EQUIPEMENTS BATIMENTS</c:v>
                      </c:pt>
                      <c:pt idx="6">
                        <c:v>ASSURANCES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'plus gros marchés'!$B$2:$B$8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360</c:v>
                      </c:pt>
                      <c:pt idx="1">
                        <c:v>215</c:v>
                      </c:pt>
                      <c:pt idx="2">
                        <c:v>215</c:v>
                      </c:pt>
                      <c:pt idx="3">
                        <c:v>215</c:v>
                      </c:pt>
                      <c:pt idx="4">
                        <c:v>215</c:v>
                      </c:pt>
                      <c:pt idx="5">
                        <c:v>110</c:v>
                      </c:pt>
                      <c:pt idx="6">
                        <c:v>110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39C-494F-9120-9A70ADAACB5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'plus gros marchés'!$D$1</c:f>
              <c:strCache>
                <c:ptCount val="1"/>
                <c:pt idx="0">
                  <c:v>Impact C02 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'plus gros marchés'!$A$2:$A$8</c:f>
              <c:strCache>
                <c:ptCount val="7"/>
                <c:pt idx="0">
                  <c:v>TRAVAUX INVESTISSEMENTS COURANT (ESV VO et BE)</c:v>
                </c:pt>
                <c:pt idx="1">
                  <c:v>NETTOIEMENT VOIRIE (ESV / FENOUILLET)</c:v>
                </c:pt>
                <c:pt idx="2">
                  <c:v>ENTRETIEN DES ESPACES VERTS ET PLACES (CHEMOFORM, EUROVERT)</c:v>
                </c:pt>
                <c:pt idx="3">
                  <c:v>NETTOYAGE DES OFFICES DE RESTAURATION (SAMSIC)</c:v>
                </c:pt>
                <c:pt idx="4">
                  <c:v>GESTION DES OFFICES avec mise a disposition de personnel</c:v>
                </c:pt>
                <c:pt idx="5">
                  <c:v>ETUDES DIVERSES POUR EQUIPEMENTS BATIMENTS</c:v>
                </c:pt>
                <c:pt idx="6">
                  <c:v>ASSURANCES</c:v>
                </c:pt>
              </c:strCache>
            </c:strRef>
          </c:cat>
          <c:val>
            <c:numRef>
              <c:f>'plus gros marchés'!$D$2:$D$8</c:f>
              <c:numCache>
                <c:formatCode>_-* #\ ##0\ _€_-;\-* #\ ##0\ _€_-;_-* "-"??\ _€_-;_-@_-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9C-494F-9120-9A70ADAAC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189135"/>
        <c:axId val="509217183"/>
      </c:lineChart>
      <c:catAx>
        <c:axId val="576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547295"/>
        <c:crosses val="autoZero"/>
        <c:auto val="1"/>
        <c:lblAlgn val="ctr"/>
        <c:lblOffset val="100"/>
        <c:noMultiLvlLbl val="0"/>
      </c:catAx>
      <c:valAx>
        <c:axId val="5754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En k 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36031"/>
        <c:crosses val="autoZero"/>
        <c:crossBetween val="between"/>
      </c:valAx>
      <c:valAx>
        <c:axId val="509217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En t</a:t>
                </a:r>
                <a:r>
                  <a:rPr lang="fr-FR" baseline="0"/>
                  <a:t> C</a:t>
                </a:r>
                <a:r>
                  <a:rPr lang="fr-FR"/>
                  <a:t>02 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\ _€_-;\-* #\ ##0\ _€_-;_-* &quot;-&quot;??\ _€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189135"/>
        <c:crosses val="max"/>
        <c:crossBetween val="between"/>
      </c:valAx>
      <c:catAx>
        <c:axId val="64918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9217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14</xdr:row>
      <xdr:rowOff>144780</xdr:rowOff>
    </xdr:from>
    <xdr:to>
      <xdr:col>12</xdr:col>
      <xdr:colOff>335280</xdr:colOff>
      <xdr:row>31</xdr:row>
      <xdr:rowOff>7620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2C7AA40-6807-4CDE-A43B-D0B58223E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ition%20&#233;cologique/01_DEVELOPPEMENT_DURABLE/Projets/Climat/Bilan%20Carbone%20-%20BEGES/D&#233;pot%20de%20documents/Bilan_Carbone_V8.9_Evry_Courcouronnes_Version%20BL_Administ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ivi_MAJ_BL"/>
      <sheetName val="Mode_emploi"/>
      <sheetName val="Descriptif"/>
      <sheetName val="Energie 1"/>
      <sheetName val="Energie 2"/>
      <sheetName val="Hors énergie 1"/>
      <sheetName val="Hors énergie 2"/>
      <sheetName val="Intrants - biens et matières"/>
      <sheetName val="Intrants - services"/>
      <sheetName val="Futurs emballages"/>
      <sheetName val="Déchets directs"/>
      <sheetName val="Fret"/>
      <sheetName val="Déplacements"/>
      <sheetName val="Immobilisations"/>
      <sheetName val="Utilisation"/>
      <sheetName val="Fin de vie"/>
      <sheetName val="Utilitaires"/>
      <sheetName val="Recap CO2e"/>
      <sheetName val="Récap Données"/>
      <sheetName val="Ratios"/>
      <sheetName val="Graphiques - BL"/>
      <sheetName val="BEGESr V5"/>
      <sheetName val="GHG Protocol"/>
      <sheetName val="ISO 14069"/>
      <sheetName val="Graphiques"/>
      <sheetName val="FE Energie"/>
      <sheetName val="FE Hors Energie"/>
      <sheetName val="FE Intrants"/>
      <sheetName val="FE Déchets"/>
      <sheetName val="FE Déplacements"/>
      <sheetName val="FE Fret"/>
      <sheetName val="FE Immobilisations"/>
      <sheetName val="export postes"/>
      <sheetName val="export sous-pos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235">
          <cell r="C1235" t="str">
            <v>Action sociale, France continentale, Base Carbone</v>
          </cell>
        </row>
        <row r="1236">
          <cell r="C1236" t="str">
            <v>Activités créatives, artistiques, culturelles, bibliothèques, et organisation de jeux de hasard et d, France continentale, Base Carbone</v>
          </cell>
        </row>
        <row r="1237">
          <cell r="C1237" t="str">
            <v>Activités des organisations associatives, France continentale, Base Carbone</v>
          </cell>
        </row>
        <row r="1238">
          <cell r="C1238" t="str">
            <v>Activités pour la santé humaine, France continentale, Base Carbone</v>
          </cell>
        </row>
        <row r="1239">
          <cell r="C1239" t="str">
            <v>Activités sportives, récréatives et de loisirs, France continentale, Base Carbone</v>
          </cell>
        </row>
        <row r="1240">
          <cell r="C1240" t="str">
            <v>Administration publiques et défense, sécurité sociale obligatoire, France continentale, Base Carbone</v>
          </cell>
        </row>
        <row r="1241">
          <cell r="C1241" t="str">
            <v>Assurance, services bancaires, conseil et honoraires, France continentale, Base Carbone</v>
          </cell>
        </row>
        <row r="1242">
          <cell r="C1242" t="str">
            <v>Bois et article en bois, France continentale, Base Carbone</v>
          </cell>
        </row>
        <row r="1243">
          <cell r="C1243" t="str">
            <v>Construction, France continentale, Base Carbone</v>
          </cell>
        </row>
        <row r="1244">
          <cell r="C1244" t="str">
            <v>Courrier, France continentale, Base Carbone</v>
          </cell>
        </row>
        <row r="1245">
          <cell r="C1245" t="str">
            <v>Édition (livres, journaux, revues, etc.), France continentale, Base Carbone</v>
          </cell>
        </row>
        <row r="1246">
          <cell r="C1246" t="str">
            <v>Enseignement, France continentale, Base Carbone</v>
          </cell>
        </row>
        <row r="1247">
          <cell r="C1247" t="str">
            <v>Entreposage et services auxiliaires des transports, France continentale, Base Carbone</v>
          </cell>
        </row>
        <row r="1248">
          <cell r="C1248" t="str">
            <v>Films, enregistrement sonores, télévision et radio, France continentale, Base Carbone</v>
          </cell>
        </row>
        <row r="1249">
          <cell r="C1249" t="str">
            <v>Hébergement et restauration, France continentale, Base Carbone</v>
          </cell>
        </row>
        <row r="1250">
          <cell r="C1250" t="str">
            <v>Machines et équipements, France continentale, Base Carbone</v>
          </cell>
        </row>
        <row r="1251">
          <cell r="C1251" t="str">
            <v>Matériel de transport, France continentale, Base Carbone</v>
          </cell>
        </row>
        <row r="1252">
          <cell r="C1252" t="str">
            <v>Métaux (aluminium, cuivre, acier, etc.), France continentale, Base Carbone</v>
          </cell>
        </row>
        <row r="1253">
          <cell r="C1253" t="str">
            <v>Meubles et autres biens manufacturés, France continentale, Base Carbone</v>
          </cell>
        </row>
        <row r="1254">
          <cell r="C1254" t="str">
            <v>Papier et carton, France continentale, Base Carbone</v>
          </cell>
        </row>
        <row r="1255">
          <cell r="C1255" t="str">
            <v>Plastiques et caoutchouc, France continentale, Base Carbone</v>
          </cell>
        </row>
        <row r="1256">
          <cell r="C1256" t="str">
            <v>Produit agro-alimentaires transformés, France continentale, Base Carbone</v>
          </cell>
        </row>
        <row r="1257">
          <cell r="C1257" t="str">
            <v>Produit minéraux (ciment, verre, etc.), France continentale, Base Carbone</v>
          </cell>
        </row>
        <row r="1258">
          <cell r="C1258" t="str">
            <v>Produits agricoles et de la mer, France continentale, Base Carbone</v>
          </cell>
        </row>
        <row r="1259">
          <cell r="C1259" t="str">
            <v>Produits chimiques, France continentale, Base Carbone</v>
          </cell>
        </row>
        <row r="1260">
          <cell r="C1260" t="str">
            <v>Produits informatiques, électroniques et optiques, France continentale, Base Carbone</v>
          </cell>
        </row>
        <row r="1261">
          <cell r="C1261" t="str">
            <v>Produits métalliques, sauf machines et équipements, France continentale, Base Carbone</v>
          </cell>
        </row>
        <row r="1262">
          <cell r="C1262" t="str">
            <v>Produits pharmaceutiques, France continentale, Base Carbone</v>
          </cell>
        </row>
        <row r="1263">
          <cell r="C1263" t="str">
            <v>Recherche et développement, France continentale, Base Carbone</v>
          </cell>
        </row>
        <row r="1264">
          <cell r="C1264" t="str">
            <v>Réparation et installation de machines et d'équipements, France continentale, Base Carbone</v>
          </cell>
        </row>
        <row r="1265">
          <cell r="C1265" t="str">
            <v>Services (imprimerie, publicité, architecture et ingénierie, maintenance multi-technique des bâtimen, France continentale, Base Carbone</v>
          </cell>
        </row>
        <row r="1266">
          <cell r="C1266" t="str">
            <v>Télécommunications, France continentale, Base Carbone</v>
          </cell>
        </row>
        <row r="1267">
          <cell r="C1267" t="str">
            <v>Textile et habillement, France continentale, Base Carbone</v>
          </cell>
        </row>
        <row r="1268">
          <cell r="C1268" t="str">
            <v>Transport aérien, France continentale, Base Carbone</v>
          </cell>
        </row>
        <row r="1269">
          <cell r="C1269" t="str">
            <v>Transport fluvial et maritime, France continentale, Base Carbone</v>
          </cell>
        </row>
        <row r="1270">
          <cell r="C1270" t="str">
            <v>Transport terrestre, France continentale, Base Carbone</v>
          </cell>
        </row>
        <row r="1271">
          <cell r="C1271" t="str">
            <v>Maintenance multitechnique, France continentale, Base Carbone</v>
          </cell>
        </row>
        <row r="1272">
          <cell r="C1272" t="str">
            <v>-</v>
          </cell>
        </row>
        <row r="1273">
          <cell r="C1273" t="str">
            <v>-</v>
          </cell>
        </row>
        <row r="1274">
          <cell r="C1274" t="str">
            <v>-</v>
          </cell>
        </row>
      </sheetData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9594-99DB-4DDB-9C44-D8DC32E7BE3F}">
  <sheetPr>
    <pageSetUpPr fitToPage="1"/>
  </sheetPr>
  <dimension ref="A2:S61"/>
  <sheetViews>
    <sheetView tabSelected="1" workbookViewId="0">
      <selection activeCell="K26" sqref="K26"/>
    </sheetView>
  </sheetViews>
  <sheetFormatPr baseColWidth="10" defaultRowHeight="14.4" x14ac:dyDescent="0.3"/>
  <cols>
    <col min="2" max="2" width="25.33203125" customWidth="1"/>
    <col min="3" max="3" width="12.5546875" customWidth="1"/>
    <col min="4" max="4" width="14.109375" style="32" customWidth="1"/>
    <col min="5" max="5" width="17.33203125" style="32" customWidth="1"/>
    <col min="6" max="6" width="16.33203125" customWidth="1"/>
    <col min="7" max="7" width="17.77734375" customWidth="1"/>
    <col min="9" max="9" width="11.5546875" style="33"/>
    <col min="11" max="11" width="22.5546875" customWidth="1"/>
    <col min="13" max="13" width="14.109375" bestFit="1" customWidth="1"/>
    <col min="15" max="15" width="17.6640625" customWidth="1"/>
  </cols>
  <sheetData>
    <row r="2" spans="1:19" ht="48.6" customHeight="1" thickBot="1" x14ac:dyDescent="0.4">
      <c r="A2" s="17" t="s">
        <v>89</v>
      </c>
      <c r="B2" s="17"/>
      <c r="C2" s="19" t="s">
        <v>109</v>
      </c>
      <c r="D2" s="27" t="s">
        <v>119</v>
      </c>
      <c r="E2" s="27" t="s">
        <v>111</v>
      </c>
      <c r="F2" s="11"/>
      <c r="G2" s="11"/>
      <c r="H2" s="34" t="s">
        <v>118</v>
      </c>
      <c r="I2" s="35" t="s">
        <v>119</v>
      </c>
      <c r="J2" s="34" t="s">
        <v>113</v>
      </c>
      <c r="K2" s="11"/>
      <c r="L2" s="34" t="s">
        <v>118</v>
      </c>
      <c r="M2" s="34" t="s">
        <v>119</v>
      </c>
    </row>
    <row r="3" spans="1:19" ht="101.4" thickBot="1" x14ac:dyDescent="0.4">
      <c r="A3" s="18" t="s">
        <v>88</v>
      </c>
      <c r="B3" s="10" t="s">
        <v>0</v>
      </c>
      <c r="C3" s="11"/>
      <c r="D3" s="28"/>
      <c r="E3" s="28"/>
      <c r="F3" s="18" t="s">
        <v>87</v>
      </c>
      <c r="G3" s="10" t="s">
        <v>46</v>
      </c>
      <c r="H3" s="11"/>
      <c r="I3" s="20"/>
      <c r="J3" s="11"/>
      <c r="K3" s="10" t="s">
        <v>90</v>
      </c>
      <c r="L3" s="11"/>
      <c r="M3" s="11"/>
      <c r="O3" s="5"/>
      <c r="P3" s="2" t="s">
        <v>47</v>
      </c>
      <c r="Q3" s="3" t="s">
        <v>96</v>
      </c>
      <c r="R3" s="3" t="s">
        <v>97</v>
      </c>
    </row>
    <row r="4" spans="1:19" ht="43.8" thickBot="1" x14ac:dyDescent="0.35">
      <c r="A4" s="11"/>
      <c r="B4" s="12" t="s">
        <v>31</v>
      </c>
      <c r="C4" s="13"/>
      <c r="D4" s="13"/>
      <c r="E4" s="13"/>
      <c r="F4" s="11"/>
      <c r="G4" s="12" t="s">
        <v>52</v>
      </c>
      <c r="H4" s="13"/>
      <c r="I4" s="55"/>
      <c r="J4" s="11"/>
      <c r="K4" s="14" t="s">
        <v>91</v>
      </c>
      <c r="L4" s="11"/>
      <c r="M4" s="11"/>
      <c r="O4" s="1" t="s">
        <v>98</v>
      </c>
      <c r="P4" s="4"/>
      <c r="Q4" s="4" t="s">
        <v>99</v>
      </c>
      <c r="R4" s="4" t="s">
        <v>100</v>
      </c>
    </row>
    <row r="5" spans="1:19" ht="43.8" thickBot="1" x14ac:dyDescent="0.35">
      <c r="A5" s="11"/>
      <c r="B5" s="25" t="s">
        <v>117</v>
      </c>
      <c r="C5" s="26">
        <v>360</v>
      </c>
      <c r="D5" s="30"/>
      <c r="E5" s="30">
        <f>D5/1000*C5</f>
        <v>0</v>
      </c>
      <c r="F5" s="11"/>
      <c r="G5" s="12" t="s">
        <v>53</v>
      </c>
      <c r="H5" s="13"/>
      <c r="I5" s="55"/>
      <c r="J5" s="11"/>
      <c r="K5" s="12" t="s">
        <v>92</v>
      </c>
      <c r="L5" s="13"/>
      <c r="M5" s="13"/>
      <c r="O5" s="1" t="s">
        <v>101</v>
      </c>
      <c r="P5" s="4"/>
      <c r="Q5" s="4" t="s">
        <v>99</v>
      </c>
      <c r="R5" s="4" t="s">
        <v>100</v>
      </c>
    </row>
    <row r="6" spans="1:19" ht="43.8" thickBot="1" x14ac:dyDescent="0.35">
      <c r="A6" s="11"/>
      <c r="B6" s="25" t="s">
        <v>112</v>
      </c>
      <c r="C6" s="26">
        <v>215</v>
      </c>
      <c r="D6" s="30"/>
      <c r="E6" s="30">
        <f>D6/1000*C6</f>
        <v>0</v>
      </c>
      <c r="F6" s="11"/>
      <c r="G6" s="14" t="s">
        <v>62</v>
      </c>
      <c r="H6" s="11"/>
      <c r="I6" s="20"/>
      <c r="J6" s="11"/>
      <c r="K6" s="14" t="s">
        <v>93</v>
      </c>
      <c r="L6" s="11"/>
      <c r="M6" s="11"/>
      <c r="O6" s="1" t="s">
        <v>98</v>
      </c>
      <c r="P6" s="4"/>
      <c r="Q6" s="4" t="s">
        <v>102</v>
      </c>
      <c r="R6" s="4" t="s">
        <v>103</v>
      </c>
    </row>
    <row r="7" spans="1:19" ht="43.8" thickBot="1" x14ac:dyDescent="0.35">
      <c r="A7" s="11"/>
      <c r="B7" s="25" t="s">
        <v>115</v>
      </c>
      <c r="C7" s="26">
        <v>215</v>
      </c>
      <c r="D7" s="30"/>
      <c r="E7" s="30">
        <f>D7/1000*C7</f>
        <v>0</v>
      </c>
      <c r="F7" s="11"/>
      <c r="G7" s="12" t="s">
        <v>69</v>
      </c>
      <c r="H7" s="13"/>
      <c r="I7" s="20"/>
      <c r="J7" s="11"/>
      <c r="K7" s="14" t="s">
        <v>94</v>
      </c>
      <c r="L7" s="11"/>
      <c r="M7" s="11"/>
      <c r="O7" s="1" t="s">
        <v>101</v>
      </c>
      <c r="P7" s="4"/>
      <c r="Q7" s="4" t="s">
        <v>102</v>
      </c>
      <c r="R7" s="4" t="s">
        <v>103</v>
      </c>
    </row>
    <row r="8" spans="1:19" ht="43.8" thickBot="1" x14ac:dyDescent="0.35">
      <c r="A8" s="11"/>
      <c r="B8" s="51" t="s">
        <v>116</v>
      </c>
      <c r="C8" s="52">
        <v>215</v>
      </c>
      <c r="D8" s="53"/>
      <c r="E8" s="53">
        <f>D8/1000*C8</f>
        <v>0</v>
      </c>
      <c r="F8" s="11"/>
      <c r="G8" s="14" t="s">
        <v>60</v>
      </c>
      <c r="H8" s="11"/>
      <c r="I8" s="20"/>
      <c r="J8" s="11"/>
      <c r="K8" s="14" t="s">
        <v>95</v>
      </c>
      <c r="L8" s="11"/>
      <c r="M8" s="11"/>
      <c r="O8" s="1" t="s">
        <v>98</v>
      </c>
      <c r="P8" s="4"/>
      <c r="Q8" s="4" t="s">
        <v>104</v>
      </c>
      <c r="R8" s="4" t="s">
        <v>105</v>
      </c>
    </row>
    <row r="9" spans="1:19" ht="43.8" thickBot="1" x14ac:dyDescent="0.35">
      <c r="A9" s="11"/>
      <c r="B9" s="51" t="s">
        <v>10</v>
      </c>
      <c r="C9" s="52">
        <v>215</v>
      </c>
      <c r="D9" s="53"/>
      <c r="E9" s="53">
        <f>D9/1000*C9</f>
        <v>0</v>
      </c>
      <c r="F9" s="11"/>
      <c r="G9" s="14" t="s">
        <v>51</v>
      </c>
      <c r="H9" s="11"/>
      <c r="I9" s="20"/>
      <c r="J9" s="11"/>
      <c r="K9" s="16"/>
      <c r="L9" s="11"/>
      <c r="M9" s="11"/>
      <c r="O9" s="1" t="s">
        <v>101</v>
      </c>
      <c r="P9" s="4"/>
      <c r="Q9" s="4" t="s">
        <v>104</v>
      </c>
      <c r="R9" s="4" t="s">
        <v>106</v>
      </c>
    </row>
    <row r="10" spans="1:19" ht="43.8" thickBot="1" x14ac:dyDescent="0.35">
      <c r="A10" s="11"/>
      <c r="B10" s="49" t="s">
        <v>13</v>
      </c>
      <c r="C10" s="50"/>
      <c r="D10" s="31"/>
      <c r="E10" s="31"/>
      <c r="F10" s="11"/>
      <c r="G10" s="14" t="s">
        <v>50</v>
      </c>
      <c r="H10" s="11"/>
      <c r="I10" s="20"/>
      <c r="J10" s="11"/>
      <c r="M10" s="33">
        <f>SUM(M4:M9)</f>
        <v>0</v>
      </c>
      <c r="O10" s="1" t="s">
        <v>98</v>
      </c>
      <c r="P10" s="4"/>
      <c r="Q10" s="4" t="s">
        <v>107</v>
      </c>
      <c r="R10" s="4" t="s">
        <v>108</v>
      </c>
    </row>
    <row r="11" spans="1:19" ht="58.2" thickBot="1" x14ac:dyDescent="0.35">
      <c r="A11" s="11"/>
      <c r="B11" s="21" t="s">
        <v>45</v>
      </c>
      <c r="C11" s="22">
        <v>110</v>
      </c>
      <c r="D11" s="29"/>
      <c r="E11" s="29"/>
      <c r="F11" s="11"/>
      <c r="G11" s="14" t="s">
        <v>68</v>
      </c>
      <c r="H11" s="11"/>
      <c r="I11" s="20"/>
      <c r="J11" s="11"/>
      <c r="O11" s="1" t="s">
        <v>101</v>
      </c>
      <c r="P11" s="4"/>
      <c r="Q11" s="4" t="s">
        <v>107</v>
      </c>
      <c r="R11" s="4" t="s">
        <v>108</v>
      </c>
    </row>
    <row r="12" spans="1:19" ht="57.6" x14ac:dyDescent="0.3">
      <c r="A12" s="11"/>
      <c r="B12" s="25" t="s">
        <v>20</v>
      </c>
      <c r="C12" s="26">
        <v>215</v>
      </c>
      <c r="D12" s="30"/>
      <c r="E12" s="30">
        <f>D12/1000*C12</f>
        <v>0</v>
      </c>
      <c r="F12" s="11"/>
      <c r="G12" s="14" t="s">
        <v>70</v>
      </c>
      <c r="H12" s="11"/>
      <c r="I12" s="20"/>
      <c r="J12" s="11"/>
      <c r="P12">
        <f>SUM(P4:P11)</f>
        <v>0</v>
      </c>
    </row>
    <row r="13" spans="1:19" ht="43.2" x14ac:dyDescent="0.3">
      <c r="A13" s="11"/>
      <c r="B13" s="49" t="s">
        <v>3</v>
      </c>
      <c r="C13" s="50"/>
      <c r="D13" s="31"/>
      <c r="E13" s="31">
        <f>D13/1000*C13</f>
        <v>0</v>
      </c>
      <c r="F13" s="11"/>
      <c r="G13" s="14" t="s">
        <v>78</v>
      </c>
      <c r="H13" s="11"/>
      <c r="I13" s="20"/>
      <c r="J13" s="11"/>
      <c r="P13" s="9" t="e">
        <f>P12/#REF!</f>
        <v>#REF!</v>
      </c>
    </row>
    <row r="14" spans="1:19" ht="100.8" x14ac:dyDescent="0.3">
      <c r="A14" s="11"/>
      <c r="B14" s="49" t="s">
        <v>17</v>
      </c>
      <c r="C14" s="50"/>
      <c r="D14" s="31"/>
      <c r="E14" s="31">
        <f>D14/1000*C14</f>
        <v>0</v>
      </c>
      <c r="F14" s="11"/>
      <c r="G14" s="14" t="s">
        <v>76</v>
      </c>
      <c r="H14" s="11"/>
      <c r="I14" s="20"/>
      <c r="J14" s="11"/>
      <c r="O14" s="8"/>
      <c r="P14" s="8"/>
      <c r="Q14" s="8"/>
      <c r="R14" s="8"/>
      <c r="S14" s="7"/>
    </row>
    <row r="15" spans="1:19" ht="57.6" x14ac:dyDescent="0.3">
      <c r="A15" s="11"/>
      <c r="B15" s="25" t="s">
        <v>7</v>
      </c>
      <c r="C15" s="26">
        <v>215</v>
      </c>
      <c r="D15" s="30"/>
      <c r="E15" s="30">
        <f>D15/1000*C15</f>
        <v>0</v>
      </c>
      <c r="F15" s="11"/>
      <c r="G15" s="15" t="s">
        <v>82</v>
      </c>
      <c r="H15" s="11"/>
      <c r="I15" s="20"/>
      <c r="J15" s="11"/>
      <c r="O15" s="7"/>
      <c r="P15" s="7"/>
      <c r="Q15" s="7"/>
      <c r="R15" s="7"/>
    </row>
    <row r="16" spans="1:19" ht="43.2" x14ac:dyDescent="0.3">
      <c r="A16" s="11"/>
      <c r="B16" s="49" t="s">
        <v>18</v>
      </c>
      <c r="C16" s="50"/>
      <c r="D16" s="31"/>
      <c r="E16" s="31">
        <f>D16/1000*C16</f>
        <v>0</v>
      </c>
      <c r="F16" s="11"/>
      <c r="G16" s="14" t="s">
        <v>54</v>
      </c>
      <c r="H16" s="11"/>
      <c r="I16" s="20"/>
      <c r="J16" s="11"/>
    </row>
    <row r="17" spans="1:18" ht="28.8" x14ac:dyDescent="0.3">
      <c r="A17" s="11"/>
      <c r="B17" s="49" t="s">
        <v>39</v>
      </c>
      <c r="C17" s="50"/>
      <c r="D17" s="31"/>
      <c r="E17" s="31">
        <f>D17/1000*C17</f>
        <v>0</v>
      </c>
      <c r="F17" s="11"/>
      <c r="G17" s="12" t="s">
        <v>58</v>
      </c>
      <c r="H17" s="13"/>
      <c r="I17" s="20"/>
      <c r="J17" s="11"/>
    </row>
    <row r="18" spans="1:18" ht="43.2" x14ac:dyDescent="0.3">
      <c r="A18" s="11"/>
      <c r="B18" s="36" t="s">
        <v>2</v>
      </c>
      <c r="C18" s="37">
        <v>560</v>
      </c>
      <c r="D18" s="38"/>
      <c r="E18" s="38">
        <f>D18/1000*C18</f>
        <v>0</v>
      </c>
      <c r="F18" s="11"/>
      <c r="G18" s="14" t="s">
        <v>86</v>
      </c>
      <c r="H18" s="11"/>
      <c r="I18" s="20"/>
      <c r="J18" s="11"/>
    </row>
    <row r="19" spans="1:18" ht="43.2" x14ac:dyDescent="0.3">
      <c r="A19" s="11"/>
      <c r="B19" s="49" t="s">
        <v>32</v>
      </c>
      <c r="C19" s="50"/>
      <c r="D19" s="31"/>
      <c r="E19" s="31"/>
      <c r="F19" s="11"/>
      <c r="G19" s="14" t="s">
        <v>72</v>
      </c>
      <c r="H19" s="11"/>
      <c r="I19" s="20"/>
      <c r="J19" s="11"/>
    </row>
    <row r="20" spans="1:18" ht="28.8" x14ac:dyDescent="0.3">
      <c r="A20" s="11"/>
      <c r="B20" s="39" t="s">
        <v>1</v>
      </c>
      <c r="C20" s="40">
        <v>100</v>
      </c>
      <c r="D20" s="41"/>
      <c r="E20" s="41"/>
      <c r="F20" s="11"/>
      <c r="G20" s="14" t="s">
        <v>73</v>
      </c>
      <c r="H20" s="11"/>
      <c r="I20" s="20"/>
      <c r="J20" s="11"/>
    </row>
    <row r="21" spans="1:18" ht="57.6" x14ac:dyDescent="0.3">
      <c r="A21" s="11"/>
      <c r="B21" s="49" t="s">
        <v>6</v>
      </c>
      <c r="C21" s="50"/>
      <c r="D21" s="31"/>
      <c r="E21" s="31"/>
      <c r="F21" s="11"/>
      <c r="G21" s="12" t="s">
        <v>57</v>
      </c>
      <c r="H21" s="13"/>
      <c r="I21" s="20"/>
      <c r="J21" s="11"/>
    </row>
    <row r="22" spans="1:18" ht="43.2" x14ac:dyDescent="0.3">
      <c r="A22" s="11"/>
      <c r="B22" s="42" t="s">
        <v>28</v>
      </c>
      <c r="C22" s="43"/>
      <c r="D22" s="44"/>
      <c r="E22" s="44"/>
      <c r="F22" s="11"/>
      <c r="G22" s="14" t="s">
        <v>55</v>
      </c>
      <c r="H22" s="11"/>
      <c r="I22" s="20"/>
      <c r="J22" s="11"/>
    </row>
    <row r="23" spans="1:18" ht="43.2" x14ac:dyDescent="0.3">
      <c r="A23" s="11"/>
      <c r="B23" s="36" t="s">
        <v>14</v>
      </c>
      <c r="C23" s="37">
        <v>270</v>
      </c>
      <c r="D23" s="38"/>
      <c r="E23" s="38"/>
      <c r="F23" s="11"/>
      <c r="G23" s="14" t="s">
        <v>63</v>
      </c>
      <c r="H23" s="11"/>
      <c r="I23" s="20"/>
      <c r="J23" s="11"/>
    </row>
    <row r="24" spans="1:18" ht="57.6" x14ac:dyDescent="0.3">
      <c r="A24" s="11"/>
      <c r="B24" s="49" t="s">
        <v>33</v>
      </c>
      <c r="C24" s="50"/>
      <c r="D24" s="31"/>
      <c r="E24" s="31"/>
      <c r="F24" s="11"/>
      <c r="G24" s="14" t="s">
        <v>71</v>
      </c>
      <c r="H24" s="11"/>
      <c r="I24" s="20"/>
      <c r="J24" s="11"/>
    </row>
    <row r="25" spans="1:18" ht="57.6" x14ac:dyDescent="0.3">
      <c r="A25" s="11"/>
      <c r="B25" s="21" t="s">
        <v>38</v>
      </c>
      <c r="C25" s="22">
        <v>160</v>
      </c>
      <c r="D25" s="29"/>
      <c r="E25" s="29"/>
      <c r="F25" s="11"/>
      <c r="G25" s="14" t="s">
        <v>65</v>
      </c>
      <c r="H25" s="11"/>
      <c r="I25" s="20"/>
      <c r="J25" s="11"/>
      <c r="L25" s="72"/>
      <c r="M25" s="72"/>
      <c r="N25" s="73"/>
      <c r="O25" s="74"/>
      <c r="P25" s="75"/>
    </row>
    <row r="26" spans="1:18" ht="43.2" x14ac:dyDescent="0.3">
      <c r="A26" s="11"/>
      <c r="B26" s="49" t="s">
        <v>12</v>
      </c>
      <c r="C26" s="50"/>
      <c r="D26" s="31"/>
      <c r="E26" s="31"/>
      <c r="F26" s="11"/>
      <c r="G26" s="14" t="s">
        <v>85</v>
      </c>
      <c r="H26" s="11"/>
      <c r="I26" s="20"/>
      <c r="J26" s="11"/>
      <c r="L26" s="72"/>
      <c r="M26" s="72"/>
      <c r="N26" s="73"/>
      <c r="O26" s="76"/>
      <c r="P26" s="75"/>
    </row>
    <row r="27" spans="1:18" ht="43.2" x14ac:dyDescent="0.3">
      <c r="A27" s="11"/>
      <c r="B27" s="21" t="s">
        <v>30</v>
      </c>
      <c r="C27" s="22">
        <v>360</v>
      </c>
      <c r="D27" s="29"/>
      <c r="E27" s="29">
        <f>D27/1000*C27</f>
        <v>0</v>
      </c>
      <c r="F27" s="11"/>
      <c r="G27" s="14" t="s">
        <v>77</v>
      </c>
      <c r="H27" s="11"/>
      <c r="I27" s="20"/>
      <c r="J27" s="11"/>
      <c r="L27" s="72"/>
      <c r="M27" s="72"/>
      <c r="N27" s="73"/>
      <c r="O27" s="76"/>
      <c r="P27" s="75"/>
    </row>
    <row r="28" spans="1:18" ht="28.8" x14ac:dyDescent="0.3">
      <c r="A28" s="11"/>
      <c r="B28" s="49" t="s">
        <v>37</v>
      </c>
      <c r="C28" s="50"/>
      <c r="D28" s="31"/>
      <c r="E28" s="31">
        <f>D28/1000*C28</f>
        <v>0</v>
      </c>
      <c r="F28" s="11"/>
      <c r="G28" s="14" t="s">
        <v>61</v>
      </c>
      <c r="H28" s="11"/>
      <c r="I28" s="20"/>
      <c r="J28" s="11"/>
      <c r="L28" s="72"/>
      <c r="M28" s="72"/>
      <c r="N28" s="73"/>
      <c r="O28" s="76"/>
      <c r="P28" s="75"/>
    </row>
    <row r="29" spans="1:18" ht="57.6" x14ac:dyDescent="0.3">
      <c r="A29" s="11"/>
      <c r="B29" s="25" t="s">
        <v>8</v>
      </c>
      <c r="C29" s="26">
        <v>215</v>
      </c>
      <c r="D29" s="30"/>
      <c r="E29" s="30">
        <f>D29/1000*C29</f>
        <v>0</v>
      </c>
      <c r="F29" s="11"/>
      <c r="G29" s="14" t="s">
        <v>114</v>
      </c>
      <c r="H29" s="11"/>
      <c r="I29" s="20"/>
      <c r="J29" s="11"/>
      <c r="L29" s="72"/>
      <c r="M29" s="72"/>
      <c r="N29" s="73"/>
      <c r="O29" s="77"/>
      <c r="P29" s="75"/>
    </row>
    <row r="30" spans="1:18" ht="28.8" x14ac:dyDescent="0.3">
      <c r="A30" s="11"/>
      <c r="B30" s="36" t="s">
        <v>11</v>
      </c>
      <c r="C30" s="37">
        <v>320</v>
      </c>
      <c r="D30" s="38"/>
      <c r="E30" s="38"/>
      <c r="F30" s="11"/>
      <c r="G30" s="15" t="s">
        <v>81</v>
      </c>
      <c r="H30" s="11"/>
      <c r="I30" s="20"/>
      <c r="J30" s="11"/>
      <c r="L30" s="78"/>
      <c r="M30" s="78"/>
      <c r="N30" s="79"/>
      <c r="O30" s="80"/>
      <c r="P30" s="80"/>
      <c r="Q30" s="23"/>
      <c r="R30" s="24"/>
    </row>
    <row r="31" spans="1:18" ht="28.8" x14ac:dyDescent="0.3">
      <c r="A31" s="11"/>
      <c r="B31" s="49" t="s">
        <v>42</v>
      </c>
      <c r="C31" s="50"/>
      <c r="D31" s="31"/>
      <c r="E31" s="31"/>
      <c r="F31" s="11"/>
      <c r="G31" s="14" t="s">
        <v>79</v>
      </c>
      <c r="H31" s="11"/>
      <c r="I31" s="20"/>
      <c r="J31" s="11"/>
    </row>
    <row r="32" spans="1:18" ht="28.8" x14ac:dyDescent="0.3">
      <c r="A32" s="11"/>
      <c r="B32" s="49" t="s">
        <v>25</v>
      </c>
      <c r="C32" s="50"/>
      <c r="D32" s="31"/>
      <c r="E32" s="31"/>
      <c r="F32" s="11"/>
      <c r="G32" s="14" t="s">
        <v>84</v>
      </c>
      <c r="H32" s="11"/>
      <c r="I32" s="20"/>
      <c r="J32" s="11"/>
    </row>
    <row r="33" spans="1:13" ht="43.2" x14ac:dyDescent="0.3">
      <c r="A33" s="11"/>
      <c r="B33" s="49" t="s">
        <v>16</v>
      </c>
      <c r="C33" s="50"/>
      <c r="D33" s="31"/>
      <c r="E33" s="31"/>
      <c r="F33" s="11"/>
      <c r="G33" s="15" t="s">
        <v>80</v>
      </c>
      <c r="H33" s="11"/>
      <c r="I33" s="20"/>
      <c r="J33" s="11"/>
    </row>
    <row r="34" spans="1:13" ht="57.6" x14ac:dyDescent="0.3">
      <c r="A34" s="11"/>
      <c r="B34" s="14" t="s">
        <v>5</v>
      </c>
      <c r="C34" s="11"/>
      <c r="D34" s="31"/>
      <c r="E34" s="31"/>
      <c r="F34" s="11"/>
      <c r="G34" s="14" t="s">
        <v>66</v>
      </c>
      <c r="H34" s="11"/>
      <c r="I34" s="20"/>
      <c r="J34" s="11"/>
    </row>
    <row r="35" spans="1:13" ht="28.8" x14ac:dyDescent="0.3">
      <c r="A35" s="11"/>
      <c r="B35" s="49" t="s">
        <v>29</v>
      </c>
      <c r="C35" s="50"/>
      <c r="D35" s="31"/>
      <c r="E35" s="31"/>
      <c r="F35" s="11"/>
      <c r="G35" s="12" t="s">
        <v>83</v>
      </c>
      <c r="H35" s="13"/>
      <c r="I35" s="20"/>
      <c r="J35" s="11"/>
    </row>
    <row r="36" spans="1:13" ht="43.2" x14ac:dyDescent="0.3">
      <c r="A36" s="11"/>
      <c r="B36" s="49" t="s">
        <v>43</v>
      </c>
      <c r="C36" s="50"/>
      <c r="D36" s="31"/>
      <c r="E36" s="31"/>
      <c r="F36" s="11"/>
      <c r="G36" s="14" t="s">
        <v>75</v>
      </c>
      <c r="H36" s="11"/>
      <c r="I36" s="20"/>
      <c r="J36" s="11"/>
    </row>
    <row r="37" spans="1:13" ht="57.6" x14ac:dyDescent="0.3">
      <c r="A37" s="11"/>
      <c r="B37" s="45" t="s">
        <v>26</v>
      </c>
      <c r="C37" s="46"/>
      <c r="D37" s="47"/>
      <c r="E37" s="47"/>
      <c r="F37" s="11"/>
      <c r="G37" s="14" t="s">
        <v>74</v>
      </c>
      <c r="H37" s="11"/>
      <c r="I37" s="20"/>
      <c r="J37" s="11"/>
    </row>
    <row r="38" spans="1:13" ht="43.2" x14ac:dyDescent="0.3">
      <c r="A38" s="11"/>
      <c r="B38" s="49" t="s">
        <v>19</v>
      </c>
      <c r="C38" s="50"/>
      <c r="D38" s="31"/>
      <c r="E38" s="31"/>
      <c r="F38" s="11"/>
      <c r="G38" s="14" t="s">
        <v>49</v>
      </c>
      <c r="H38" s="11"/>
      <c r="I38" s="20"/>
      <c r="J38" s="11"/>
    </row>
    <row r="39" spans="1:13" ht="43.2" x14ac:dyDescent="0.3">
      <c r="A39" s="11"/>
      <c r="B39" s="36" t="s">
        <v>41</v>
      </c>
      <c r="C39" s="37"/>
      <c r="D39" s="38"/>
      <c r="E39" s="38"/>
      <c r="F39" s="11"/>
      <c r="G39" s="14" t="s">
        <v>67</v>
      </c>
      <c r="H39" s="11"/>
      <c r="I39" s="20"/>
      <c r="J39" s="11"/>
    </row>
    <row r="40" spans="1:13" ht="43.2" x14ac:dyDescent="0.3">
      <c r="A40" s="11"/>
      <c r="B40" s="36" t="s">
        <v>40</v>
      </c>
      <c r="C40" s="37"/>
      <c r="D40" s="38"/>
      <c r="E40" s="38"/>
      <c r="F40" s="11"/>
      <c r="G40" s="14" t="s">
        <v>64</v>
      </c>
      <c r="H40" s="11"/>
      <c r="I40" s="20"/>
      <c r="J40" s="11"/>
    </row>
    <row r="41" spans="1:13" ht="28.8" x14ac:dyDescent="0.3">
      <c r="A41" s="11"/>
      <c r="B41" s="49" t="s">
        <v>36</v>
      </c>
      <c r="C41" s="50"/>
      <c r="D41" s="31"/>
      <c r="E41" s="31"/>
      <c r="F41" s="11"/>
      <c r="G41" s="14" t="s">
        <v>48</v>
      </c>
      <c r="H41" s="11"/>
      <c r="I41" s="20"/>
      <c r="J41" s="11"/>
    </row>
    <row r="42" spans="1:13" ht="43.2" x14ac:dyDescent="0.3">
      <c r="A42" s="11"/>
      <c r="B42" s="14" t="s">
        <v>21</v>
      </c>
      <c r="C42" s="11"/>
      <c r="D42" s="31"/>
      <c r="E42" s="31"/>
      <c r="F42" s="11"/>
      <c r="G42" s="14" t="s">
        <v>56</v>
      </c>
      <c r="H42" s="11"/>
      <c r="I42" s="20"/>
      <c r="J42" s="11"/>
    </row>
    <row r="43" spans="1:13" ht="28.8" x14ac:dyDescent="0.3">
      <c r="A43" s="11"/>
      <c r="B43" s="21" t="s">
        <v>44</v>
      </c>
      <c r="C43" s="22"/>
      <c r="D43" s="29"/>
      <c r="E43" s="29"/>
      <c r="F43" s="11"/>
      <c r="G43" s="14" t="s">
        <v>59</v>
      </c>
      <c r="H43" s="11"/>
      <c r="I43" s="20"/>
      <c r="J43" s="11"/>
    </row>
    <row r="44" spans="1:13" x14ac:dyDescent="0.3">
      <c r="A44" s="11"/>
      <c r="B44" s="14" t="s">
        <v>35</v>
      </c>
      <c r="C44" s="11"/>
      <c r="D44" s="31"/>
      <c r="E44" s="31"/>
      <c r="F44" s="11"/>
      <c r="G44" s="16"/>
      <c r="H44" s="11"/>
      <c r="I44" s="20"/>
      <c r="J44" s="11"/>
    </row>
    <row r="45" spans="1:13" x14ac:dyDescent="0.3">
      <c r="A45" s="11"/>
      <c r="B45" s="36" t="s">
        <v>15</v>
      </c>
      <c r="C45" s="37"/>
      <c r="D45" s="38"/>
      <c r="E45" s="38"/>
      <c r="F45" s="11"/>
      <c r="G45" s="11"/>
      <c r="H45" s="11"/>
      <c r="I45" s="20"/>
      <c r="J45" s="11"/>
    </row>
    <row r="46" spans="1:13" ht="43.2" x14ac:dyDescent="0.3">
      <c r="A46" s="11"/>
      <c r="B46" s="14" t="s">
        <v>4</v>
      </c>
      <c r="C46" s="11"/>
      <c r="D46" s="31"/>
      <c r="E46" s="31"/>
      <c r="F46" s="11"/>
      <c r="G46" s="11"/>
      <c r="H46" s="57"/>
      <c r="I46" s="58">
        <f>SUM(I4:I43)</f>
        <v>0</v>
      </c>
      <c r="J46" s="11"/>
    </row>
    <row r="47" spans="1:13" ht="43.2" x14ac:dyDescent="0.3">
      <c r="A47" s="11"/>
      <c r="B47" s="36" t="s">
        <v>9</v>
      </c>
      <c r="C47" s="37">
        <v>600</v>
      </c>
      <c r="D47" s="38"/>
      <c r="E47" s="38"/>
      <c r="F47" s="11"/>
      <c r="G47" s="11"/>
      <c r="H47" s="11"/>
      <c r="I47" s="20"/>
      <c r="J47" s="11"/>
      <c r="L47" s="6"/>
      <c r="M47" s="6"/>
    </row>
    <row r="48" spans="1:13" ht="43.2" x14ac:dyDescent="0.3">
      <c r="A48" s="11"/>
      <c r="B48" s="14" t="s">
        <v>34</v>
      </c>
      <c r="C48" s="11"/>
      <c r="D48" s="31"/>
      <c r="E48" s="31"/>
      <c r="F48" s="11"/>
      <c r="G48" s="11"/>
      <c r="H48" s="11"/>
      <c r="I48" s="20"/>
      <c r="J48" s="11"/>
    </row>
    <row r="49" spans="1:10" ht="43.2" x14ac:dyDescent="0.3">
      <c r="A49" s="11"/>
      <c r="B49" s="14" t="s">
        <v>22</v>
      </c>
      <c r="C49" s="11"/>
      <c r="D49" s="31"/>
      <c r="E49" s="31"/>
      <c r="F49" s="11"/>
      <c r="G49" s="11"/>
      <c r="H49" s="11"/>
      <c r="I49" s="20"/>
      <c r="J49" s="11"/>
    </row>
    <row r="50" spans="1:10" ht="28.8" x14ac:dyDescent="0.3">
      <c r="A50" s="11"/>
      <c r="B50" s="45" t="s">
        <v>27</v>
      </c>
      <c r="C50" s="46"/>
      <c r="D50" s="47"/>
      <c r="E50" s="47"/>
      <c r="F50" s="11"/>
      <c r="G50" s="11"/>
      <c r="H50" s="11"/>
      <c r="I50" s="20"/>
      <c r="J50" s="11"/>
    </row>
    <row r="51" spans="1:10" x14ac:dyDescent="0.3">
      <c r="A51" s="11"/>
      <c r="B51" s="14" t="s">
        <v>24</v>
      </c>
      <c r="C51" s="11"/>
      <c r="D51" s="31"/>
      <c r="E51" s="31"/>
      <c r="F51" s="11"/>
      <c r="G51" s="11"/>
      <c r="H51" s="11"/>
      <c r="I51" s="20"/>
      <c r="J51" s="11"/>
    </row>
    <row r="52" spans="1:10" ht="28.8" x14ac:dyDescent="0.3">
      <c r="A52" s="11"/>
      <c r="B52" s="14" t="s">
        <v>23</v>
      </c>
      <c r="C52" s="11"/>
      <c r="D52" s="31"/>
      <c r="E52" s="31"/>
      <c r="F52" s="11"/>
      <c r="G52" s="11"/>
      <c r="H52" s="11"/>
      <c r="I52" s="20"/>
      <c r="J52" s="11"/>
    </row>
    <row r="53" spans="1:10" x14ac:dyDescent="0.3">
      <c r="A53" s="11"/>
      <c r="B53" s="11"/>
      <c r="C53" s="11"/>
      <c r="D53" s="28"/>
      <c r="E53" s="28"/>
      <c r="F53" s="11"/>
      <c r="G53" s="11"/>
      <c r="H53" s="11"/>
      <c r="I53" s="20"/>
      <c r="J53" s="11"/>
    </row>
    <row r="54" spans="1:10" ht="18" x14ac:dyDescent="0.35">
      <c r="A54" s="11"/>
      <c r="B54" s="17"/>
      <c r="C54" s="17"/>
      <c r="D54" s="56">
        <f>SUM(D4:D53)</f>
        <v>0</v>
      </c>
      <c r="E54" s="54"/>
      <c r="F54" s="11"/>
      <c r="G54" s="11"/>
      <c r="H54" s="11"/>
      <c r="I54" s="20"/>
      <c r="J54" s="11"/>
    </row>
    <row r="55" spans="1:10" x14ac:dyDescent="0.3">
      <c r="A55" s="11"/>
      <c r="F55" s="11"/>
      <c r="G55" s="11"/>
      <c r="H55" s="11"/>
      <c r="I55" s="20"/>
      <c r="J55" s="11"/>
    </row>
    <row r="61" spans="1:10" x14ac:dyDescent="0.3">
      <c r="B61" s="48"/>
    </row>
  </sheetData>
  <autoFilter ref="G3:G43" xr:uid="{96EA1CBB-CF82-4195-894A-7399A2C5D60E}"/>
  <dataValidations count="2">
    <dataValidation allowBlank="1" showInputMessage="1" showErrorMessage="1" sqref="N25:N30" xr:uid="{48E1F37F-D7D5-44F1-B76D-7713F2D95914}"/>
    <dataValidation type="list" allowBlank="1" showInputMessage="1" showErrorMessage="1" sqref="L25:M30" xr:uid="{30D6AB9A-A7CA-4CB9-8921-E3D9C82D5AC0}">
      <formula1>FE_Intrants_Ratios</formula1>
    </dataValidation>
  </dataValidations>
  <pageMargins left="0.7" right="0.7" top="0.75" bottom="0.75" header="0.3" footer="0.3"/>
  <pageSetup paperSize="9"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F976-E18B-4640-88E2-F651CCA007B5}">
  <dimension ref="A1:D98"/>
  <sheetViews>
    <sheetView workbookViewId="0">
      <selection activeCell="E1" sqref="E1:E1048576"/>
    </sheetView>
  </sheetViews>
  <sheetFormatPr baseColWidth="10" defaultRowHeight="14.4" x14ac:dyDescent="0.3"/>
  <cols>
    <col min="1" max="1" width="57.88671875" customWidth="1"/>
    <col min="2" max="2" width="14" customWidth="1"/>
    <col min="3" max="3" width="15.33203125" customWidth="1"/>
    <col min="4" max="4" width="14.109375" bestFit="1" customWidth="1"/>
    <col min="5" max="5" width="23.88671875" customWidth="1"/>
  </cols>
  <sheetData>
    <row r="1" spans="1:4" x14ac:dyDescent="0.3">
      <c r="A1" s="11" t="s">
        <v>120</v>
      </c>
      <c r="B1" s="11" t="s">
        <v>121</v>
      </c>
      <c r="C1" s="11" t="s">
        <v>110</v>
      </c>
      <c r="D1" s="50" t="s">
        <v>122</v>
      </c>
    </row>
    <row r="2" spans="1:4" x14ac:dyDescent="0.3">
      <c r="A2" s="60" t="s">
        <v>117</v>
      </c>
      <c r="B2" s="26">
        <v>360</v>
      </c>
      <c r="C2" s="11"/>
      <c r="D2" s="20">
        <f>C2*B2/1000000</f>
        <v>0</v>
      </c>
    </row>
    <row r="3" spans="1:4" x14ac:dyDescent="0.3">
      <c r="A3" s="60" t="s">
        <v>112</v>
      </c>
      <c r="B3" s="26">
        <v>215</v>
      </c>
      <c r="C3" s="11"/>
      <c r="D3" s="20">
        <f>C3*B3/1000000</f>
        <v>0</v>
      </c>
    </row>
    <row r="4" spans="1:4" x14ac:dyDescent="0.3">
      <c r="A4" s="60" t="s">
        <v>115</v>
      </c>
      <c r="B4" s="26">
        <v>215</v>
      </c>
      <c r="C4" s="11"/>
      <c r="D4" s="20">
        <f>C4*B4/1000000</f>
        <v>0</v>
      </c>
    </row>
    <row r="5" spans="1:4" x14ac:dyDescent="0.3">
      <c r="A5" s="61" t="s">
        <v>116</v>
      </c>
      <c r="B5" s="52">
        <v>215</v>
      </c>
      <c r="C5" s="11"/>
      <c r="D5" s="20">
        <f>C5*B5/1000000</f>
        <v>0</v>
      </c>
    </row>
    <row r="6" spans="1:4" x14ac:dyDescent="0.3">
      <c r="A6" s="61" t="s">
        <v>10</v>
      </c>
      <c r="B6" s="52">
        <v>215</v>
      </c>
      <c r="C6" s="11"/>
      <c r="D6" s="20">
        <f>C6*B6/1000000</f>
        <v>0</v>
      </c>
    </row>
    <row r="7" spans="1:4" x14ac:dyDescent="0.3">
      <c r="A7" s="62" t="s">
        <v>13</v>
      </c>
      <c r="B7" s="50">
        <v>110</v>
      </c>
      <c r="C7" s="11"/>
      <c r="D7" s="20">
        <f>C7*B7/1000000</f>
        <v>0</v>
      </c>
    </row>
    <row r="8" spans="1:4" x14ac:dyDescent="0.3">
      <c r="A8" s="63" t="s">
        <v>45</v>
      </c>
      <c r="B8" s="22">
        <v>110</v>
      </c>
      <c r="C8" s="11"/>
      <c r="D8" s="20">
        <f>C8*B8/1000000</f>
        <v>0</v>
      </c>
    </row>
    <row r="9" spans="1:4" x14ac:dyDescent="0.3">
      <c r="A9" s="60" t="s">
        <v>20</v>
      </c>
      <c r="B9" s="26">
        <v>215</v>
      </c>
      <c r="C9" s="11"/>
      <c r="D9" s="20">
        <f>C9*B9/1000000</f>
        <v>0</v>
      </c>
    </row>
    <row r="10" spans="1:4" x14ac:dyDescent="0.3">
      <c r="A10" s="62" t="s">
        <v>3</v>
      </c>
      <c r="B10" s="50">
        <v>215</v>
      </c>
      <c r="C10" s="11"/>
      <c r="D10" s="20">
        <f>C10*B10/1000000</f>
        <v>0</v>
      </c>
    </row>
    <row r="11" spans="1:4" x14ac:dyDescent="0.3">
      <c r="A11" s="67" t="s">
        <v>91</v>
      </c>
      <c r="B11" s="67">
        <v>600</v>
      </c>
      <c r="C11" s="11"/>
      <c r="D11" s="20">
        <f>C11*B11/1000000</f>
        <v>0</v>
      </c>
    </row>
    <row r="12" spans="1:4" x14ac:dyDescent="0.3">
      <c r="A12" s="67" t="s">
        <v>93</v>
      </c>
      <c r="B12" s="67">
        <v>600</v>
      </c>
      <c r="C12" s="11"/>
      <c r="D12" s="20">
        <f>C12*B12/1000000</f>
        <v>0</v>
      </c>
    </row>
    <row r="13" spans="1:4" x14ac:dyDescent="0.3">
      <c r="A13" s="67" t="s">
        <v>62</v>
      </c>
      <c r="B13" s="67">
        <v>600</v>
      </c>
      <c r="C13" s="11"/>
      <c r="D13" s="20">
        <f>C13*B13/1000000</f>
        <v>0</v>
      </c>
    </row>
    <row r="14" spans="1:4" x14ac:dyDescent="0.3">
      <c r="A14" s="62" t="s">
        <v>17</v>
      </c>
      <c r="B14" s="50">
        <v>170</v>
      </c>
      <c r="C14" s="11"/>
      <c r="D14" s="20">
        <f>C14*B14/1000000</f>
        <v>0</v>
      </c>
    </row>
    <row r="15" spans="1:4" x14ac:dyDescent="0.3">
      <c r="A15" s="60" t="s">
        <v>7</v>
      </c>
      <c r="B15" s="26">
        <v>215</v>
      </c>
      <c r="C15" s="11"/>
      <c r="D15" s="20">
        <f>C15*B15/1000000</f>
        <v>0</v>
      </c>
    </row>
    <row r="16" spans="1:4" x14ac:dyDescent="0.3">
      <c r="A16" s="62" t="s">
        <v>18</v>
      </c>
      <c r="B16" s="50">
        <v>170</v>
      </c>
      <c r="C16" s="11"/>
      <c r="D16" s="20">
        <f>C16*B16/1000000</f>
        <v>0</v>
      </c>
    </row>
    <row r="17" spans="1:4" x14ac:dyDescent="0.3">
      <c r="A17" s="62" t="s">
        <v>39</v>
      </c>
      <c r="B17" s="50">
        <v>110</v>
      </c>
      <c r="C17" s="11"/>
      <c r="D17" s="20">
        <f>C17*B17/1000000</f>
        <v>0</v>
      </c>
    </row>
    <row r="18" spans="1:4" x14ac:dyDescent="0.3">
      <c r="A18" s="64" t="s">
        <v>2</v>
      </c>
      <c r="B18" s="37">
        <v>560</v>
      </c>
      <c r="C18" s="11"/>
      <c r="D18" s="20">
        <f>C18*B18/1000000</f>
        <v>0</v>
      </c>
    </row>
    <row r="19" spans="1:4" x14ac:dyDescent="0.3">
      <c r="A19" s="62" t="s">
        <v>32</v>
      </c>
      <c r="B19" s="50">
        <v>110</v>
      </c>
      <c r="C19" s="11"/>
      <c r="D19" s="20">
        <f>C19*B19/1000000</f>
        <v>0</v>
      </c>
    </row>
    <row r="20" spans="1:4" x14ac:dyDescent="0.3">
      <c r="A20" s="67" t="s">
        <v>60</v>
      </c>
      <c r="B20" s="67">
        <v>600</v>
      </c>
      <c r="C20" s="11"/>
      <c r="D20" s="20">
        <f>C20*B20/1000000</f>
        <v>0</v>
      </c>
    </row>
    <row r="21" spans="1:4" x14ac:dyDescent="0.3">
      <c r="A21" s="67" t="s">
        <v>51</v>
      </c>
      <c r="B21" s="67">
        <v>170</v>
      </c>
      <c r="C21" s="11"/>
      <c r="D21" s="20">
        <f>C21*B21/1000000</f>
        <v>0</v>
      </c>
    </row>
    <row r="22" spans="1:4" x14ac:dyDescent="0.3">
      <c r="A22" s="67" t="s">
        <v>50</v>
      </c>
      <c r="B22" s="67">
        <v>170</v>
      </c>
      <c r="C22" s="11"/>
      <c r="D22" s="20">
        <f>C22*B22/1000000</f>
        <v>0</v>
      </c>
    </row>
    <row r="23" spans="1:4" x14ac:dyDescent="0.3">
      <c r="A23" s="65" t="s">
        <v>1</v>
      </c>
      <c r="B23" s="40">
        <v>100</v>
      </c>
      <c r="C23" s="11"/>
      <c r="D23" s="20">
        <f>C23*B23/1000000</f>
        <v>0</v>
      </c>
    </row>
    <row r="24" spans="1:4" x14ac:dyDescent="0.3">
      <c r="A24" s="62" t="s">
        <v>6</v>
      </c>
      <c r="B24" s="50">
        <v>215</v>
      </c>
      <c r="C24" s="11"/>
      <c r="D24" s="20">
        <f>C24*B24/1000000</f>
        <v>0</v>
      </c>
    </row>
    <row r="25" spans="1:4" x14ac:dyDescent="0.3">
      <c r="A25" s="66" t="s">
        <v>28</v>
      </c>
      <c r="B25" s="43">
        <v>215</v>
      </c>
      <c r="C25" s="11"/>
      <c r="D25" s="20">
        <f>C25*B25/1000000</f>
        <v>0</v>
      </c>
    </row>
    <row r="26" spans="1:4" x14ac:dyDescent="0.3">
      <c r="A26" s="64" t="s">
        <v>14</v>
      </c>
      <c r="B26" s="37">
        <v>270</v>
      </c>
      <c r="C26" s="11"/>
      <c r="D26" s="20">
        <f>C26*B26/1000000</f>
        <v>0</v>
      </c>
    </row>
    <row r="27" spans="1:4" x14ac:dyDescent="0.3">
      <c r="A27" s="62" t="s">
        <v>33</v>
      </c>
      <c r="B27" s="50"/>
      <c r="C27" s="11"/>
      <c r="D27" s="20">
        <f>C27*B27/1000000</f>
        <v>0</v>
      </c>
    </row>
    <row r="28" spans="1:4" x14ac:dyDescent="0.3">
      <c r="A28" s="63" t="s">
        <v>38</v>
      </c>
      <c r="B28" s="22">
        <v>160</v>
      </c>
      <c r="C28" s="11"/>
      <c r="D28" s="20">
        <f>C28*B28/1000000</f>
        <v>0</v>
      </c>
    </row>
    <row r="29" spans="1:4" x14ac:dyDescent="0.3">
      <c r="A29" s="67" t="s">
        <v>68</v>
      </c>
      <c r="B29" s="67"/>
      <c r="C29" s="11"/>
      <c r="D29" s="20">
        <f>C29*B29/1000000</f>
        <v>0</v>
      </c>
    </row>
    <row r="30" spans="1:4" x14ac:dyDescent="0.3">
      <c r="A30" s="67" t="s">
        <v>70</v>
      </c>
      <c r="B30" s="67">
        <v>600</v>
      </c>
      <c r="C30" s="11"/>
      <c r="D30" s="20">
        <f>C30*B30/1000000</f>
        <v>0</v>
      </c>
    </row>
    <row r="31" spans="1:4" x14ac:dyDescent="0.3">
      <c r="A31" s="62" t="s">
        <v>12</v>
      </c>
      <c r="B31" s="50"/>
      <c r="C31" s="11"/>
      <c r="D31" s="20">
        <f>C31*B31/1000000</f>
        <v>0</v>
      </c>
    </row>
    <row r="32" spans="1:4" x14ac:dyDescent="0.3">
      <c r="A32" s="63" t="s">
        <v>30</v>
      </c>
      <c r="B32" s="22">
        <v>360</v>
      </c>
      <c r="C32" s="11"/>
      <c r="D32" s="20">
        <f>C32*B32/1000000</f>
        <v>0</v>
      </c>
    </row>
    <row r="33" spans="1:4" x14ac:dyDescent="0.3">
      <c r="A33" s="62" t="s">
        <v>37</v>
      </c>
      <c r="B33" s="50"/>
      <c r="C33" s="11"/>
      <c r="D33" s="20">
        <f>C33*B33/1000000</f>
        <v>0</v>
      </c>
    </row>
    <row r="34" spans="1:4" x14ac:dyDescent="0.3">
      <c r="A34" s="67" t="s">
        <v>78</v>
      </c>
      <c r="B34" s="67">
        <v>600</v>
      </c>
      <c r="C34" s="11"/>
      <c r="D34" s="20">
        <f>C34*B34/1000000</f>
        <v>0</v>
      </c>
    </row>
    <row r="35" spans="1:4" x14ac:dyDescent="0.3">
      <c r="A35" s="67" t="s">
        <v>76</v>
      </c>
      <c r="B35" s="67">
        <v>600</v>
      </c>
      <c r="C35" s="11"/>
      <c r="D35" s="20">
        <f>C35*B35/1000000</f>
        <v>0</v>
      </c>
    </row>
    <row r="36" spans="1:4" x14ac:dyDescent="0.3">
      <c r="A36" s="28" t="s">
        <v>82</v>
      </c>
      <c r="B36" s="28"/>
      <c r="C36" s="11"/>
      <c r="D36" s="20">
        <f>C36*B36/1000000</f>
        <v>0</v>
      </c>
    </row>
    <row r="37" spans="1:4" x14ac:dyDescent="0.3">
      <c r="A37" s="67" t="s">
        <v>54</v>
      </c>
      <c r="B37" s="67"/>
      <c r="C37" s="11"/>
      <c r="D37" s="20">
        <f>C37*B37/1000000</f>
        <v>0</v>
      </c>
    </row>
    <row r="38" spans="1:4" x14ac:dyDescent="0.3">
      <c r="A38" s="67" t="s">
        <v>94</v>
      </c>
      <c r="B38" s="67">
        <v>600</v>
      </c>
      <c r="C38" s="11"/>
      <c r="D38" s="20">
        <f>C38*B38/1000000</f>
        <v>0</v>
      </c>
    </row>
    <row r="39" spans="1:4" x14ac:dyDescent="0.3">
      <c r="A39" s="60" t="s">
        <v>8</v>
      </c>
      <c r="B39" s="26">
        <v>215</v>
      </c>
      <c r="C39" s="11"/>
      <c r="D39" s="20">
        <f>C39*B39/1000000</f>
        <v>0</v>
      </c>
    </row>
    <row r="40" spans="1:4" x14ac:dyDescent="0.3">
      <c r="A40" s="64" t="s">
        <v>11</v>
      </c>
      <c r="B40" s="37">
        <v>320</v>
      </c>
      <c r="C40" s="11"/>
      <c r="D40" s="20">
        <f>C40*B40/1000000</f>
        <v>0</v>
      </c>
    </row>
    <row r="41" spans="1:4" x14ac:dyDescent="0.3">
      <c r="A41" s="67" t="s">
        <v>86</v>
      </c>
      <c r="B41" s="67">
        <v>130</v>
      </c>
      <c r="C41" s="11"/>
      <c r="D41" s="20">
        <f>C41*B41/1000000</f>
        <v>0</v>
      </c>
    </row>
    <row r="42" spans="1:4" x14ac:dyDescent="0.3">
      <c r="A42" s="67" t="s">
        <v>72</v>
      </c>
      <c r="B42" s="67"/>
      <c r="C42" s="11"/>
      <c r="D42" s="20">
        <f>C42*B42/1000000</f>
        <v>0</v>
      </c>
    </row>
    <row r="43" spans="1:4" x14ac:dyDescent="0.3">
      <c r="A43" s="62" t="s">
        <v>42</v>
      </c>
      <c r="B43" s="50"/>
      <c r="C43" s="11"/>
      <c r="D43" s="20">
        <f>C43*B43/1000000</f>
        <v>0</v>
      </c>
    </row>
    <row r="44" spans="1:4" x14ac:dyDescent="0.3">
      <c r="A44" s="67" t="s">
        <v>73</v>
      </c>
      <c r="B44" s="67"/>
      <c r="C44" s="11"/>
      <c r="D44" s="20">
        <f>C44*B44/1000000</f>
        <v>0</v>
      </c>
    </row>
    <row r="45" spans="1:4" x14ac:dyDescent="0.3">
      <c r="A45" s="62" t="s">
        <v>25</v>
      </c>
      <c r="B45" s="50"/>
      <c r="C45" s="11"/>
      <c r="D45" s="20">
        <f>C45*B45/1000000</f>
        <v>0</v>
      </c>
    </row>
    <row r="46" spans="1:4" x14ac:dyDescent="0.3">
      <c r="A46" s="67" t="s">
        <v>55</v>
      </c>
      <c r="B46" s="67"/>
      <c r="C46" s="11"/>
      <c r="D46" s="20">
        <f>C46*B46/1000000</f>
        <v>0</v>
      </c>
    </row>
    <row r="47" spans="1:4" x14ac:dyDescent="0.3">
      <c r="A47" s="62" t="s">
        <v>16</v>
      </c>
      <c r="B47" s="50"/>
      <c r="C47" s="11"/>
      <c r="D47" s="20">
        <f>C47*B47/1000000</f>
        <v>0</v>
      </c>
    </row>
    <row r="48" spans="1:4" x14ac:dyDescent="0.3">
      <c r="A48" s="67" t="s">
        <v>63</v>
      </c>
      <c r="B48" s="67"/>
      <c r="C48" s="11"/>
      <c r="D48" s="20">
        <f>C48*B48/1000000</f>
        <v>0</v>
      </c>
    </row>
    <row r="49" spans="1:4" x14ac:dyDescent="0.3">
      <c r="A49" s="67" t="s">
        <v>5</v>
      </c>
      <c r="B49" s="11"/>
      <c r="C49" s="11"/>
      <c r="D49" s="20">
        <f>C49*B49/1000000</f>
        <v>0</v>
      </c>
    </row>
    <row r="50" spans="1:4" x14ac:dyDescent="0.3">
      <c r="A50" s="67" t="s">
        <v>71</v>
      </c>
      <c r="B50" s="67"/>
      <c r="C50" s="11"/>
      <c r="D50" s="20">
        <f>C50*B50/1000000</f>
        <v>0</v>
      </c>
    </row>
    <row r="51" spans="1:4" x14ac:dyDescent="0.3">
      <c r="A51" s="67" t="s">
        <v>65</v>
      </c>
      <c r="B51" s="67"/>
      <c r="C51" s="11"/>
      <c r="D51" s="20">
        <f>C51*B51/1000000</f>
        <v>0</v>
      </c>
    </row>
    <row r="52" spans="1:4" x14ac:dyDescent="0.3">
      <c r="A52" s="62" t="s">
        <v>29</v>
      </c>
      <c r="B52" s="50"/>
      <c r="C52" s="11"/>
      <c r="D52" s="20">
        <f>C52*B52/1000000</f>
        <v>0</v>
      </c>
    </row>
    <row r="53" spans="1:4" x14ac:dyDescent="0.3">
      <c r="A53" s="67" t="s">
        <v>85</v>
      </c>
      <c r="B53" s="67"/>
      <c r="C53" s="11"/>
      <c r="D53" s="20">
        <f>C53*B53/1000000</f>
        <v>0</v>
      </c>
    </row>
    <row r="54" spans="1:4" x14ac:dyDescent="0.3">
      <c r="A54" s="67" t="s">
        <v>95</v>
      </c>
      <c r="B54" s="67"/>
      <c r="C54" s="11"/>
      <c r="D54" s="20">
        <f>C54*B54/1000000</f>
        <v>0</v>
      </c>
    </row>
    <row r="55" spans="1:4" x14ac:dyDescent="0.3">
      <c r="A55" s="67" t="s">
        <v>77</v>
      </c>
      <c r="B55" s="67"/>
      <c r="C55" s="11"/>
      <c r="D55" s="20">
        <f>C55*B55/1000000</f>
        <v>0</v>
      </c>
    </row>
    <row r="56" spans="1:4" x14ac:dyDescent="0.3">
      <c r="A56" s="62" t="s">
        <v>43</v>
      </c>
      <c r="B56" s="50"/>
      <c r="C56" s="11"/>
      <c r="D56" s="20">
        <f>C56*B56/1000000</f>
        <v>0</v>
      </c>
    </row>
    <row r="57" spans="1:4" x14ac:dyDescent="0.3">
      <c r="A57" s="68" t="s">
        <v>26</v>
      </c>
      <c r="B57" s="46"/>
      <c r="C57" s="11"/>
      <c r="D57" s="20">
        <f>C57*B57/1000000</f>
        <v>0</v>
      </c>
    </row>
    <row r="58" spans="1:4" x14ac:dyDescent="0.3">
      <c r="A58" s="62" t="s">
        <v>19</v>
      </c>
      <c r="B58" s="50"/>
      <c r="C58" s="11"/>
      <c r="D58" s="20">
        <f>C58*B58/1000000</f>
        <v>0</v>
      </c>
    </row>
    <row r="59" spans="1:4" x14ac:dyDescent="0.3">
      <c r="A59" s="64" t="s">
        <v>41</v>
      </c>
      <c r="B59" s="37"/>
      <c r="C59" s="11"/>
      <c r="D59" s="20">
        <f>C59*B59/1000000</f>
        <v>0</v>
      </c>
    </row>
    <row r="60" spans="1:4" x14ac:dyDescent="0.3">
      <c r="A60" s="64" t="s">
        <v>40</v>
      </c>
      <c r="B60" s="37"/>
      <c r="C60" s="11"/>
      <c r="D60" s="20">
        <f>C60*B60/1000000</f>
        <v>0</v>
      </c>
    </row>
    <row r="61" spans="1:4" x14ac:dyDescent="0.3">
      <c r="A61" s="67" t="s">
        <v>61</v>
      </c>
      <c r="B61" s="67"/>
      <c r="C61" s="11"/>
      <c r="D61" s="20">
        <f>C61*B61/1000000</f>
        <v>0</v>
      </c>
    </row>
    <row r="62" spans="1:4" x14ac:dyDescent="0.3">
      <c r="A62" s="62" t="s">
        <v>36</v>
      </c>
      <c r="B62" s="50"/>
      <c r="C62" s="11"/>
      <c r="D62" s="20">
        <f>C62*B62/1000000</f>
        <v>0</v>
      </c>
    </row>
    <row r="63" spans="1:4" x14ac:dyDescent="0.3">
      <c r="A63" s="67" t="s">
        <v>114</v>
      </c>
      <c r="B63" s="67"/>
      <c r="C63" s="11"/>
      <c r="D63" s="20">
        <f>C63*B63/1000000</f>
        <v>0</v>
      </c>
    </row>
    <row r="64" spans="1:4" x14ac:dyDescent="0.3">
      <c r="A64" s="67" t="s">
        <v>21</v>
      </c>
      <c r="B64" s="11"/>
      <c r="C64" s="11"/>
      <c r="D64" s="20">
        <f>C64*B64/1000000</f>
        <v>0</v>
      </c>
    </row>
    <row r="65" spans="1:4" x14ac:dyDescent="0.3">
      <c r="A65" s="28" t="s">
        <v>81</v>
      </c>
      <c r="B65" s="28"/>
      <c r="C65" s="11"/>
      <c r="D65" s="20">
        <f>C65*B65/1000000</f>
        <v>0</v>
      </c>
    </row>
    <row r="66" spans="1:4" x14ac:dyDescent="0.3">
      <c r="A66" s="63" t="s">
        <v>44</v>
      </c>
      <c r="B66" s="22"/>
      <c r="C66" s="11"/>
      <c r="D66" s="20">
        <f>C66*B66/1000000</f>
        <v>0</v>
      </c>
    </row>
    <row r="67" spans="1:4" x14ac:dyDescent="0.3">
      <c r="A67" s="67" t="s">
        <v>79</v>
      </c>
      <c r="B67" s="67"/>
      <c r="C67" s="11"/>
      <c r="D67" s="20">
        <f>C67*B67/1000000</f>
        <v>0</v>
      </c>
    </row>
    <row r="68" spans="1:4" x14ac:dyDescent="0.3">
      <c r="A68" s="67" t="s">
        <v>84</v>
      </c>
      <c r="B68" s="67"/>
      <c r="C68" s="11"/>
      <c r="D68" s="20">
        <f>C68*B68/1000000</f>
        <v>0</v>
      </c>
    </row>
    <row r="69" spans="1:4" x14ac:dyDescent="0.3">
      <c r="A69" s="28" t="s">
        <v>80</v>
      </c>
      <c r="B69" s="28"/>
      <c r="C69" s="11"/>
      <c r="D69" s="20">
        <f>C69*B69/1000000</f>
        <v>0</v>
      </c>
    </row>
    <row r="70" spans="1:4" x14ac:dyDescent="0.3">
      <c r="A70" s="67" t="s">
        <v>35</v>
      </c>
      <c r="B70" s="11"/>
      <c r="C70" s="11"/>
      <c r="D70" s="20">
        <f>C70*B70/1000000</f>
        <v>0</v>
      </c>
    </row>
    <row r="71" spans="1:4" x14ac:dyDescent="0.3">
      <c r="A71" s="67" t="s">
        <v>66</v>
      </c>
      <c r="B71" s="67"/>
      <c r="C71" s="11"/>
      <c r="D71" s="20">
        <f>C71*B71/1000000</f>
        <v>0</v>
      </c>
    </row>
    <row r="72" spans="1:4" x14ac:dyDescent="0.3">
      <c r="A72" s="64" t="s">
        <v>15</v>
      </c>
      <c r="B72" s="37"/>
      <c r="C72" s="11"/>
      <c r="D72" s="20">
        <f>C72*B72/1000000</f>
        <v>0</v>
      </c>
    </row>
    <row r="73" spans="1:4" x14ac:dyDescent="0.3">
      <c r="A73" s="67" t="s">
        <v>75</v>
      </c>
      <c r="B73" s="67"/>
      <c r="C73" s="11"/>
      <c r="D73" s="20">
        <f>C73*B73/1000000</f>
        <v>0</v>
      </c>
    </row>
    <row r="74" spans="1:4" x14ac:dyDescent="0.3">
      <c r="A74" s="67" t="s">
        <v>4</v>
      </c>
      <c r="B74" s="11"/>
      <c r="C74" s="11"/>
      <c r="D74" s="20">
        <f>C74*B74/1000000</f>
        <v>0</v>
      </c>
    </row>
    <row r="75" spans="1:4" x14ac:dyDescent="0.3">
      <c r="A75" s="67" t="s">
        <v>74</v>
      </c>
      <c r="B75" s="67"/>
      <c r="C75" s="11"/>
      <c r="D75" s="20">
        <f>C75*B75/1000000</f>
        <v>0</v>
      </c>
    </row>
    <row r="76" spans="1:4" x14ac:dyDescent="0.3">
      <c r="A76" s="64" t="s">
        <v>9</v>
      </c>
      <c r="B76" s="37">
        <v>600</v>
      </c>
      <c r="C76" s="11"/>
      <c r="D76" s="20">
        <f>C76*B76/1000000</f>
        <v>0</v>
      </c>
    </row>
    <row r="77" spans="1:4" x14ac:dyDescent="0.3">
      <c r="A77" s="67" t="s">
        <v>34</v>
      </c>
      <c r="B77" s="11"/>
      <c r="C77" s="11"/>
      <c r="D77" s="20">
        <f>C77*B77/1000000</f>
        <v>0</v>
      </c>
    </row>
    <row r="78" spans="1:4" x14ac:dyDescent="0.3">
      <c r="A78" s="67" t="s">
        <v>49</v>
      </c>
      <c r="B78" s="67"/>
      <c r="C78" s="11"/>
      <c r="D78" s="20">
        <f>C78*B78/1000000</f>
        <v>0</v>
      </c>
    </row>
    <row r="79" spans="1:4" x14ac:dyDescent="0.3">
      <c r="A79" s="67" t="s">
        <v>22</v>
      </c>
      <c r="B79" s="11"/>
      <c r="C79" s="11"/>
      <c r="D79" s="20">
        <f>C79*B79/1000000</f>
        <v>0</v>
      </c>
    </row>
    <row r="80" spans="1:4" x14ac:dyDescent="0.3">
      <c r="A80" s="68" t="s">
        <v>27</v>
      </c>
      <c r="B80" s="46"/>
      <c r="C80" s="11"/>
      <c r="D80" s="20">
        <f>C80*B80/1000000</f>
        <v>0</v>
      </c>
    </row>
    <row r="81" spans="1:4" x14ac:dyDescent="0.3">
      <c r="A81" s="67" t="s">
        <v>24</v>
      </c>
      <c r="B81" s="11"/>
      <c r="C81" s="11"/>
      <c r="D81" s="20">
        <f>C81*B81/1000000</f>
        <v>0</v>
      </c>
    </row>
    <row r="82" spans="1:4" x14ac:dyDescent="0.3">
      <c r="A82" s="67" t="s">
        <v>67</v>
      </c>
      <c r="B82" s="67"/>
      <c r="C82" s="11"/>
      <c r="D82" s="20">
        <f>C82*B82/1000000</f>
        <v>0</v>
      </c>
    </row>
    <row r="83" spans="1:4" x14ac:dyDescent="0.3">
      <c r="A83" s="67" t="s">
        <v>64</v>
      </c>
      <c r="B83" s="67"/>
      <c r="C83" s="11"/>
      <c r="D83" s="20">
        <f>C83*B83/1000000</f>
        <v>0</v>
      </c>
    </row>
    <row r="84" spans="1:4" x14ac:dyDescent="0.3">
      <c r="A84" s="67" t="s">
        <v>23</v>
      </c>
      <c r="B84" s="11"/>
      <c r="C84" s="11"/>
      <c r="D84" s="20">
        <f>C84*B84/1000000</f>
        <v>0</v>
      </c>
    </row>
    <row r="85" spans="1:4" x14ac:dyDescent="0.3">
      <c r="A85" s="69" t="s">
        <v>0</v>
      </c>
      <c r="B85" s="70"/>
      <c r="C85" s="11"/>
      <c r="D85" s="20">
        <f>C85*B85/1000000</f>
        <v>0</v>
      </c>
    </row>
    <row r="86" spans="1:4" x14ac:dyDescent="0.3">
      <c r="A86" s="59" t="s">
        <v>31</v>
      </c>
      <c r="B86" s="13"/>
      <c r="C86" s="11"/>
      <c r="D86" s="20">
        <f>C86*B86/1000000</f>
        <v>0</v>
      </c>
    </row>
    <row r="87" spans="1:4" x14ac:dyDescent="0.3">
      <c r="A87" s="59" t="s">
        <v>52</v>
      </c>
      <c r="B87" s="11"/>
      <c r="C87" s="11"/>
      <c r="D87" s="20">
        <f>C87*B87/1000000</f>
        <v>0</v>
      </c>
    </row>
    <row r="88" spans="1:4" x14ac:dyDescent="0.3">
      <c r="A88" s="59" t="s">
        <v>53</v>
      </c>
      <c r="B88" s="59"/>
      <c r="C88" s="11"/>
      <c r="D88" s="20">
        <f>C88*B88/1000000</f>
        <v>0</v>
      </c>
    </row>
    <row r="89" spans="1:4" x14ac:dyDescent="0.3">
      <c r="A89" s="59" t="s">
        <v>69</v>
      </c>
      <c r="B89" s="59"/>
      <c r="C89" s="11"/>
      <c r="D89" s="20">
        <f>C89*B89/1000000</f>
        <v>0</v>
      </c>
    </row>
    <row r="90" spans="1:4" x14ac:dyDescent="0.3">
      <c r="A90" s="59" t="s">
        <v>58</v>
      </c>
      <c r="B90" s="59"/>
      <c r="C90" s="11"/>
      <c r="D90" s="20">
        <f>C90*B90/1000000</f>
        <v>0</v>
      </c>
    </row>
    <row r="91" spans="1:4" x14ac:dyDescent="0.3">
      <c r="A91" s="59" t="s">
        <v>57</v>
      </c>
      <c r="B91" s="59"/>
      <c r="C91" s="11"/>
      <c r="D91" s="20">
        <f>C91*B91/1000000</f>
        <v>0</v>
      </c>
    </row>
    <row r="92" spans="1:4" x14ac:dyDescent="0.3">
      <c r="A92" s="59" t="s">
        <v>83</v>
      </c>
      <c r="B92" s="59"/>
      <c r="C92" s="11"/>
      <c r="D92" s="20">
        <f>C92*B92/1000000</f>
        <v>0</v>
      </c>
    </row>
    <row r="93" spans="1:4" x14ac:dyDescent="0.3">
      <c r="A93" s="67" t="s">
        <v>48</v>
      </c>
      <c r="B93" s="67"/>
      <c r="C93" s="11"/>
      <c r="D93" s="20">
        <f>C93*B93/1000000</f>
        <v>0</v>
      </c>
    </row>
    <row r="94" spans="1:4" x14ac:dyDescent="0.3">
      <c r="A94" s="67" t="s">
        <v>56</v>
      </c>
      <c r="B94" s="67"/>
      <c r="C94" s="11"/>
      <c r="D94" s="20">
        <f>C94*B94/1000000</f>
        <v>0</v>
      </c>
    </row>
    <row r="95" spans="1:4" x14ac:dyDescent="0.3">
      <c r="A95" s="67" t="s">
        <v>59</v>
      </c>
      <c r="B95" s="67"/>
      <c r="C95" s="11"/>
      <c r="D95" s="20">
        <f>C95*B95/1000000</f>
        <v>0</v>
      </c>
    </row>
    <row r="96" spans="1:4" x14ac:dyDescent="0.3">
      <c r="A96" s="59" t="s">
        <v>92</v>
      </c>
      <c r="B96" s="59"/>
      <c r="C96" s="11"/>
      <c r="D96" s="20">
        <f>C96*B96/1000000</f>
        <v>0</v>
      </c>
    </row>
    <row r="98" spans="1:4" x14ac:dyDescent="0.3">
      <c r="A98" s="7"/>
      <c r="B98" s="7"/>
      <c r="C98" s="7"/>
      <c r="D98" s="71">
        <f>SUM(D2:D96)</f>
        <v>0</v>
      </c>
    </row>
  </sheetData>
  <autoFilter ref="A1:D96" xr:uid="{B291BAD4-670D-4F0A-93BC-B595D7F6335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plus gros marchés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GIRAUD LUCAS</dc:creator>
  <cp:lastModifiedBy>GIRAUD LUCAS</cp:lastModifiedBy>
  <cp:lastPrinted>2024-05-16T13:12:57Z</cp:lastPrinted>
  <dcterms:created xsi:type="dcterms:W3CDTF">2024-05-15T13:14:28Z</dcterms:created>
  <dcterms:modified xsi:type="dcterms:W3CDTF">2026-01-07T11:11:04Z</dcterms:modified>
</cp:coreProperties>
</file>